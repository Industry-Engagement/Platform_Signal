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c74d05cb0a4b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2b026fa181e4def"/>
    <x:sheet xmlns:r="http://schemas.openxmlformats.org/officeDocument/2006/relationships" name="Assumptions" sheetId="2" r:id="Re3a6608c8e3a4ff5"/>
    <x:sheet xmlns:r="http://schemas.openxmlformats.org/officeDocument/2006/relationships" name="Flight Model" sheetId="3" r:id="R182aa1e24a2548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sz val="11"/>
      <x:color rgb="FF0070C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</x:fills>
  <x:borders count="17">
    <x:border/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5" fillId="4" borderId="7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3" fillId="2" borderId="9" xfId="0" applyNumberFormat="1" applyFont="1" applyFill="1" applyBorder="1" applyAlignment="1">
      <x:alignment wrapText="1"/>
    </x:xf>
    <x:xf numFmtId="0" fontId="3" fillId="2" borderId="10" xfId="0" applyNumberFormat="1" applyFont="1" applyFill="1" applyBorder="1" applyAlignment="1">
      <x:alignment wrapText="1"/>
    </x:xf>
    <x:xf numFmtId="0" fontId="3" fillId="2" borderId="11" xfId="0" applyNumberFormat="1" applyFont="1" applyFill="1" applyBorder="1" applyAlignment="1">
      <x:alignment wrapText="1"/>
    </x:xf>
    <x:xf numFmtId="0" fontId="0" fillId="4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2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200" fontId="0" fillId="5" borderId="15" xfId="0" applyNumberFormat="1" applyFont="1" applyFill="1" applyBorder="1"/>
    <x:xf numFmtId="0" fontId="0" fillId="5" borderId="15" xfId="0" applyNumberFormat="1" applyFont="1" applyFill="1" applyBorder="1"/>
    <x:xf numFmtId="201" fontId="0" fillId="5" borderId="15" xfId="0" applyNumberFormat="1" applyFont="1" applyFill="1" applyBorder="1"/>
    <x:xf numFmtId="0" fontId="0" fillId="0" borderId="16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2e426aeaa4460a" /><Relationship Type="http://schemas.openxmlformats.org/officeDocument/2006/relationships/theme" Target="/xl/theme/theme1.xml" Id="R69c88098f14b40c3" /><Relationship Type="http://schemas.openxmlformats.org/officeDocument/2006/relationships/sharedStrings" Target="/xl/sharedStrings.xml" Id="R04e99a46b678410f" /><Relationship Type="http://schemas.openxmlformats.org/officeDocument/2006/relationships/worksheet" Target="/xl/worksheets/sheet1.xml" Id="R72b026fa181e4def" /><Relationship Type="http://schemas.openxmlformats.org/officeDocument/2006/relationships/worksheet" Target="/xl/worksheets/sheet2.xml" Id="Re3a6608c8e3a4ff5" /><Relationship Type="http://schemas.openxmlformats.org/officeDocument/2006/relationships/worksheet" Target="/xl/worksheets/sheet3.xml" Id="R182aa1e24a2548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8" hidden="0" customWidth="1"/>
  </x:cols>
  <x:sheetData>
    <x:row r="1" ht="19.200000762939453" hidden="0" customHeight="1">
      <x:c r="A1" s="2" t="str">
        <x:v>Prototype Flight Communication Signal Model</x:v>
      </x:c>
      <x:c r="B1" s="2"/>
      <x:c r="C1" s="2"/>
      <x:c r="D1" s="2"/>
      <x:c r="E1" s="2"/>
      <x:c r="F1" s="2"/>
    </x:row>
    <x:row r="2"/>
    <x:row r="3" ht="132" hidden="0" customHeight="1">
      <x:c r="A3" s="5" t="str">
        <x:v>Purpose</x:v>
      </x:c>
      <x:c r="B3" s="6" t="str">
        <x:v>Calculate theoretical relative VHF propagation quality for each flight observation.</x:v>
      </x:c>
    </x:row>
    <x:row r="4" ht="132" hidden="0" customHeight="1">
      <x:c r="A4" s="5" t="str">
        <x:v>1. Assign link</x:v>
      </x:c>
      <x:c r="B4" s="6" t="str">
        <x:v>Use the flight-phase model to assign a service, frequency, and assumed transmitter site.</x:v>
      </x:c>
    </x:row>
    <x:row r="5" ht="132" hidden="0" customHeight="1">
      <x:c r="A5" s="5" t="str">
        <x:v>2. Horizontal distance</x:v>
      </x:c>
      <x:c r="B5" s="6" t="str">
        <x:v>Calculate great-circle distance between aircraft and transmitter coordinates.</x:v>
      </x:c>
    </x:row>
    <x:row r="6" ht="118.80000305175781" hidden="0" customHeight="1">
      <x:c r="A6" s="5" t="str">
        <x:v>3. Slant distance</x:v>
      </x:c>
      <x:c r="B6" s="6" t="str">
        <x:v>Combine horizontal distance with aircraft-to-antenna height difference.</x:v>
      </x:c>
    </x:row>
    <x:row r="7" ht="105.5999984741211" hidden="0" customHeight="1">
      <x:c r="A7" s="5" t="str">
        <x:v>4. Propagation loss</x:v>
      </x:c>
      <x:c r="B7" s="6" t="str">
        <x:v>FSPL = 32.45 + 20 log10(distance km) + 20 log10(frequency MHz).</x:v>
      </x:c>
    </x:row>
    <x:row r="8" ht="118.80000305175781" hidden="0" customHeight="1">
      <x:c r="A8" s="5" t="str">
        <x:v>5. Line of sight</x:v>
      </x:c>
      <x:c r="B8" s="6" t="str">
        <x:v>Compare horizontal distance with the approximate radio-horizon distance.</x:v>
      </x:c>
    </x:row>
    <x:row r="9" ht="171.60000610351562" hidden="0" customHeight="1">
      <x:c r="A9" s="5" t="str">
        <x:v>6. Score</x:v>
      </x:c>
      <x:c r="B9" s="6" t="str">
        <x:v>Normalize FSPL between editable strong and weak loss boundaries, then apply an optional non-LOS penalty.</x:v>
      </x:c>
    </x:row>
    <x:row r="10" ht="171.60000610351562" hidden="0" customHeight="1">
      <x:c r="A10" s="5" t="str">
        <x:v>Interpretation</x:v>
      </x:c>
      <x:c r="B10" s="6" t="str">
        <x:v>The score is modeled relative quality, not measured received power or actual signal strength in dBm.</x:v>
      </x:c>
    </x:row>
    <x:row r="11"/>
    <x:row r="12" ht="15" hidden="0" customHeight="1">
      <x:c r="A12" s="7" t="str">
        <x:v>Required flight field</x:v>
      </x:c>
      <x:c r="B12" s="7" t="str">
        <x:v>Expected unit / meaning</x:v>
      </x:c>
    </x:row>
    <x:row r="13" ht="15" hidden="0" customHeight="1">
      <x:c r="A13" t="str">
        <x:v>flight_id</x:v>
      </x:c>
      <x:c r="B13" t="str">
        <x:v>Text identifier</x:v>
      </x:c>
    </x:row>
    <x:row r="14" ht="15" hidden="0" customHeight="1">
      <x:c r="A14" t="str">
        <x:v>timestamp</x:v>
      </x:c>
      <x:c r="B14" t="str">
        <x:v>Date/time</x:v>
      </x:c>
    </x:row>
    <x:row r="15" ht="15" hidden="0" customHeight="1">
      <x:c r="A15" t="str">
        <x:v>aircraft_lat</x:v>
      </x:c>
      <x:c r="B15" t="str">
        <x:v>Decimal degrees</x:v>
      </x:c>
    </x:row>
    <x:row r="16" ht="15" hidden="0" customHeight="1">
      <x:c r="A16" t="str">
        <x:v>aircraft_lon</x:v>
      </x:c>
      <x:c r="B16" t="str">
        <x:v>Decimal degrees</x:v>
      </x:c>
    </x:row>
    <x:row r="17" ht="15" hidden="0" customHeight="1">
      <x:c r="A17" t="str">
        <x:v>aircraft_altitude_ft</x:v>
      </x:c>
      <x:c r="B17" t="str">
        <x:v>Feet above mean sea level</x:v>
      </x:c>
    </x:row>
    <x:row r="18" ht="15" hidden="0" customHeight="1">
      <x:c r="A18" t="str">
        <x:v>frequency_mhz</x:v>
      </x:c>
      <x:c r="B18" t="str">
        <x:v>Assigned representative VHF frequency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25" hidden="0" customWidth="1"/>
    <x:col min="2" max="2" width="6.630000114440918" hidden="0" customWidth="1"/>
    <x:col min="3" max="3" width="9" hidden="0" customWidth="1"/>
    <x:col min="4" max="4" width="58" hidden="0" customWidth="1"/>
  </x:cols>
  <x:sheetData>
    <x:row r="1" ht="28" customHeight="1">
      <x:c r="A1" s="8" t="str">
        <x:v>Editable Model Assumptions</x:v>
      </x:c>
      <x:c r="B1" s="8"/>
      <x:c r="C1" s="8"/>
      <x:c r="D1" s="8"/>
    </x:row>
    <x:row r="3">
      <x:c r="A3" s="11" t="str">
        <x:v>Parameter</x:v>
      </x:c>
      <x:c r="B3" s="12" t="str">
        <x:v>Value</x:v>
      </x:c>
      <x:c r="C3" s="12" t="str">
        <x:v>Unit</x:v>
      </x:c>
      <x:c r="D3" s="13" t="str">
        <x:v>Purpose</x:v>
      </x:c>
    </x:row>
    <x:row r="4">
      <x:c r="A4" s="14" t="str">
        <x:v>Earth radius</x:v>
      </x:c>
      <x:c r="B4" s="10" t="n">
        <x:v>6371</x:v>
      </x:c>
      <x:c r="C4" s="15" t="str">
        <x:v>km</x:v>
      </x:c>
      <x:c r="D4" s="16" t="str">
        <x:v>Great-circle distance calculation</x:v>
      </x:c>
    </x:row>
    <x:row r="5">
      <x:c r="A5" s="14" t="str">
        <x:v>Strong-loss boundary</x:v>
      </x:c>
      <x:c r="B5" s="10" t="n">
        <x:v>90</x:v>
      </x:c>
      <x:c r="C5" s="15" t="str">
        <x:v>dB</x:v>
      </x:c>
      <x:c r="D5" s="16" t="str">
        <x:v>FSPL at or below this maps to score 100</x:v>
      </x:c>
    </x:row>
    <x:row r="6">
      <x:c r="A6" s="14" t="str">
        <x:v>Weak-loss boundary</x:v>
      </x:c>
      <x:c r="B6" s="10" t="n">
        <x:v>115</x:v>
      </x:c>
      <x:c r="C6" s="15" t="str">
        <x:v>dB</x:v>
      </x:c>
      <x:c r="D6" s="16" t="str">
        <x:v>FSPL at or above this maps to score 0</x:v>
      </x:c>
    </x:row>
    <x:row r="7">
      <x:c r="A7" s="14" t="str">
        <x:v>Non-line-of-sight penalty</x:v>
      </x:c>
      <x:c r="B7" s="10" t="n">
        <x:v>20</x:v>
      </x:c>
      <x:c r="C7" s="15" t="str">
        <x:v>points</x:v>
      </x:c>
      <x:c r="D7" s="16" t="str">
        <x:v>Optional prototype penalty when beyond radio horizon</x:v>
      </x:c>
    </x:row>
    <x:row r="8">
      <x:c r="A8" s="14" t="str">
        <x:v>Effective Earth horizon factor</x:v>
      </x:c>
      <x:c r="B8" s="10" t="n">
        <x:v>4.12</x:v>
      </x:c>
      <x:c r="C8" s="15" t="str">
        <x:v>km/sqrt(m)</x:v>
      </x:c>
      <x:c r="D8" s="16" t="str">
        <x:v>Approximate radio horizon using 4/3 Earth radius</x:v>
      </x:c>
    </x:row>
    <x:row r="9">
      <x:c r="A9" s="14" t="str">
        <x:v>Default transmitter latitude</x:v>
      </x:c>
      <x:c r="B9" s="10" t="n">
        <x:v>40.7769</x:v>
      </x:c>
      <x:c r="C9" s="15" t="str">
        <x:v>degrees</x:v>
      </x:c>
      <x:c r="D9" s="16" t="str">
        <x:v>LGA reference coordinate; replace when a better site is known</x:v>
      </x:c>
    </x:row>
    <x:row r="10">
      <x:c r="A10" s="17" t="str">
        <x:v>Default transmitter longitude</x:v>
      </x:c>
      <x:c r="B10" s="18" t="n">
        <x:v>-73.874</x:v>
      </x:c>
      <x:c r="C10" s="19" t="str">
        <x:v>degrees</x:v>
      </x:c>
      <x:c r="D10" s="20" t="str">
        <x:v>LGA reference coordinate; replace when a better site is known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2.380000114440918" hidden="0" customWidth="1"/>
    <x:col min="6" max="6" width="8.880000114440918" hidden="0" customWidth="1"/>
    <x:col min="7" max="7" width="9.380000114440918" hidden="0" customWidth="1"/>
    <x:col min="8" max="8" width="14.880000114440918" hidden="0" customWidth="1"/>
    <x:col min="9" max="9" width="12" hidden="0" customWidth="1"/>
    <x:col min="10" max="10" width="12.5" hidden="0" customWidth="1"/>
    <x:col min="11" max="11" width="15" hidden="0" customWidth="1"/>
    <x:col min="12" max="12" width="11.5" hidden="0" customWidth="1"/>
    <x:col min="13" max="13" width="7.5" hidden="0" customWidth="1"/>
    <x:col min="14" max="14" width="6.130000114440918" hidden="0" customWidth="1"/>
    <x:col min="15" max="15" width="14.380000114440918" hidden="0" customWidth="1"/>
    <x:col min="16" max="16" width="10.380000114440918" hidden="0" customWidth="1"/>
    <x:col min="17" max="17" width="8.380000114440918" hidden="0" customWidth="1"/>
    <x:col min="18" max="18" width="8.880000114440918" hidden="0" customWidth="1"/>
    <x:col min="19" max="19" width="18" hidden="0" customWidth="1"/>
    <x:col min="20" max="20" width="38" hidden="0" customWidth="1"/>
  </x:cols>
  <x:sheetData>
    <x:row r="1" ht="28" customHeight="1">
      <x:c r="A1" s="8" t="str">
        <x:v>Flight Inputs and Calculated Signal Quality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  <x:c r="N1" s="8"/>
      <x:c r="O1" s="8"/>
      <x:c r="P1" s="8"/>
      <x:c r="Q1" s="8"/>
      <x:c r="R1" s="8"/>
      <x:c r="S1" s="8"/>
      <x:c r="T1" s="8"/>
    </x:row>
    <x:row r="3" ht="34" customHeight="1">
      <x:c r="A3" s="25" t="str">
        <x:v>flight_id</x:v>
      </x:c>
      <x:c r="B3" s="26" t="str">
        <x:v>timestamp</x:v>
      </x:c>
      <x:c r="C3" s="26" t="str">
        <x:v>phase</x:v>
      </x:c>
      <x:c r="D3" s="26" t="str">
        <x:v>service</x:v>
      </x:c>
      <x:c r="E3" s="26" t="str">
        <x:v>frequency_mhz</x:v>
      </x:c>
      <x:c r="F3" s="26" t="str">
        <x:v>aircraft_lat</x:v>
      </x:c>
      <x:c r="G3" s="26" t="str">
        <x:v>aircraft_lon</x:v>
      </x:c>
      <x:c r="H3" s="26" t="str">
        <x:v>aircraft_altitude_ft</x:v>
      </x:c>
      <x:c r="I3" s="26" t="str">
        <x:v>transmitter_lat</x:v>
      </x:c>
      <x:c r="J3" s="26" t="str">
        <x:v>transmitter_lon</x:v>
      </x:c>
      <x:c r="K3" s="26" t="str">
        <x:v>antenna_height_m</x:v>
      </x:c>
      <x:c r="L3" s="26" t="str">
        <x:v>horizontal_km</x:v>
      </x:c>
      <x:c r="M3" s="26" t="str">
        <x:v>slant_km</x:v>
      </x:c>
      <x:c r="N3" s="26" t="str">
        <x:v>fspl_db</x:v>
      </x:c>
      <x:c r="O3" s="26" t="str">
        <x:v>radio_horizon_km</x:v>
      </x:c>
      <x:c r="P3" s="26" t="str">
        <x:v>line_of_sight</x:v>
      </x:c>
      <x:c r="Q3" s="26" t="str">
        <x:v>raw_score</x:v>
      </x:c>
      <x:c r="R3" s="26" t="str">
        <x:v>final_score</x:v>
      </x:c>
      <x:c r="S3" s="26" t="str">
        <x:v>category</x:v>
      </x:c>
      <x:c r="T3" s="27" t="str">
        <x:v>model_note</x:v>
      </x:c>
    </x:row>
    <x:row r="4">
      <x:c r="A4" s="28" t="str">
        <x:v>EXAMPLE-LGA-ARR</x:v>
      </x:c>
      <x:c r="B4" s="9" t="str">
        <x:v>2026-07-16 12:00</x:v>
      </x:c>
      <x:c r="C4" s="9" t="str">
        <x:v>approach</x:v>
      </x:c>
      <x:c r="D4" s="9" t="str">
        <x:v>approach</x:v>
      </x:c>
      <x:c r="E4" s="9" t="n">
        <x:v>125</x:v>
      </x:c>
      <x:c r="F4" s="9" t="n">
        <x:v>40.9567</x:v>
      </x:c>
      <x:c r="G4" s="9" t="n">
        <x:v>-73.874</x:v>
      </x:c>
      <x:c r="H4" s="9" t="n">
        <x:v>3000</x:v>
      </x:c>
      <x:c r="I4" s="9" t="n">
        <x:v>40.7769</x:v>
      </x:c>
      <x:c r="J4" s="9" t="n">
        <x:v>-73.874</x:v>
      </x:c>
      <x:c r="K4" s="9" t="n">
        <x:v>50</x:v>
      </x:c>
      <x:c r="L4" s="23" t="n">
        <x:f>IF(A4="","",2*'Assumptions'!$B$4*ASIN(SQRT(SIN(RADIANS(F4-I4)/2)^2+COS(RADIANS(F4))*COS(RADIANS(I4))*SIN(RADIANS(G4-J4)/2)^2)))</x:f>
        <x:v>19.99284781069168</x:v>
      </x:c>
      <x:c r="M4" s="23" t="n">
        <x:f>IF(A4="","",SQRT(L4^2+((H4*0.3048-K4)/1000)^2))</x:f>
        <x:v>20.011525452635514</x:v>
      </x:c>
      <x:c r="N4" s="23" t="n">
        <x:f>IF(A4="","",32.45+20*LOG10(MAX(M4,0.001))+20*LOG10(E4))</x:f>
        <x:v>100.4138041722266</x:v>
      </x:c>
      <x:c r="O4" s="23" t="n">
        <x:f>IF(A4="","",'Assumptions'!$B$8*(SQRT(MAX(H4*0.3048,0))+SQRT(MAX(K4,0))))</x:f>
        <x:v>153.71767551357163</x:v>
      </x:c>
      <x:c r="P4" s="22" t="str">
        <x:f>IF(A4="","",IF(L4&lt;=O4,"Yes","No"))</x:f>
        <x:v>Yes</x:v>
      </x:c>
      <x:c r="Q4" s="24" t="n">
        <x:f>IF(A4="","",100*('Assumptions'!$B$6-N4)/('Assumptions'!$B$6-'Assumptions'!$B$5))</x:f>
        <x:v>58.34478331109358</x:v>
      </x:c>
      <x:c r="R4" s="24" t="n">
        <x:f>IF(A4="","",MAX(0,MIN(100,Q4-IF(P4="No",'Assumptions'!$B$7,0))))</x:f>
        <x:v>58.34478331109358</x:v>
      </x:c>
      <x:c r="S4" s="15" t="str">
        <x:f>IF(A4="","",IF(R4&gt;=80,"Strong",IF(R4&gt;=50,"Moderate","Weak")))</x:f>
        <x:v>Moderate</x:v>
      </x:c>
      <x:c r="T4" s="29" t="str">
        <x:f>IF(A4="","","Relative prototype score; not measured dBm")</x:f>
        <x:v>Relative prototype score; not measured dBm</x:v>
      </x:c>
    </x:row>
    <x:row r="5">
      <x:c r="A5" s="30"/>
      <x:c r="B5" s="15"/>
      <x:c r="C5" s="15"/>
      <x:c r="D5" s="15"/>
      <x:c r="E5" s="15"/>
      <x:c r="F5" s="15"/>
      <x:c r="G5" s="15"/>
      <x:c r="H5" s="15"/>
      <x:c r="I5" s="15"/>
      <x:c r="J5" s="15"/>
      <x:c r="K5" s="15"/>
      <x:c r="L5" s="23" t="str">
        <x:f>IF(A5="","",2*'Assumptions'!$B$4*ASIN(SQRT(SIN(RADIANS(F5-I5)/2)^2+COS(RADIANS(F5))*COS(RADIANS(I5))*SIN(RADIANS(G5-J5)/2)^2)))</x:f>
      </x:c>
      <x:c r="M5" s="23" t="str">
        <x:f>IF(A5="","",SQRT(L5^2+((H5*0.3048-K5)/1000)^2))</x:f>
      </x:c>
      <x:c r="N5" s="23" t="str">
        <x:f>IF(A5="","",32.45+20*LOG11(MAX(M5,0.001))+20*LOG11(E5))</x:f>
      </x:c>
      <x:c r="O5" s="23" t="str">
        <x:f>IF(A5="","",'Assumptions'!$B$8*(SQRT(MAX(H5*0.3048,0))+SQRT(MAX(K5,0))))</x:f>
      </x:c>
      <x:c r="P5" s="22" t="str">
        <x:f>IF(A5="","",IF(L5&lt;=O5,"Yes","No"))</x:f>
      </x:c>
      <x:c r="Q5" s="24" t="str">
        <x:f>IF(A5="","",100*('Assumptions'!$B$6-N5)/('Assumptions'!$B$6-'Assumptions'!$B$5))</x:f>
      </x:c>
      <x:c r="R5" s="24" t="str">
        <x:f>IF(A5="","",MAX(0,MIN(100,Q5-IF(P5="No",'Assumptions'!$B$7,0))))</x:f>
      </x:c>
      <x:c r="S5" s="15" t="str">
        <x:f>IF(A5="","",IF(R5&gt;=80,"Strong",IF(R5&gt;=50,"Moderate","Weak")))</x:f>
      </x:c>
      <x:c r="T5" s="29" t="str">
        <x:f>IF(A5="","","Relative prototype score; not measured dBm")</x:f>
      </x:c>
    </x:row>
    <x:row r="6">
      <x:c r="A6" s="30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23" t="str">
        <x:f>IF(A6="","",2*'Assumptions'!$B$4*ASIN(SQRT(SIN(RADIANS(F6-I6)/2)^2+COS(RADIANS(F6))*COS(RADIANS(I6))*SIN(RADIANS(G6-J6)/2)^2)))</x:f>
      </x:c>
      <x:c r="M6" s="23" t="str">
        <x:f>IF(A6="","",SQRT(L6^2+((H6*0.3048-K6)/1000)^2))</x:f>
      </x:c>
      <x:c r="N6" s="23" t="str">
        <x:f>IF(A6="","",32.45+20*LOG12(MAX(M6,0.001))+20*LOG12(E6))</x:f>
      </x:c>
      <x:c r="O6" s="23" t="str">
        <x:f>IF(A6="","",'Assumptions'!$B$8*(SQRT(MAX(H6*0.3048,0))+SQRT(MAX(K6,0))))</x:f>
      </x:c>
      <x:c r="P6" s="22" t="str">
        <x:f>IF(A6="","",IF(L6&lt;=O6,"Yes","No"))</x:f>
      </x:c>
      <x:c r="Q6" s="24" t="str">
        <x:f>IF(A6="","",100*('Assumptions'!$B$6-N6)/('Assumptions'!$B$6-'Assumptions'!$B$5))</x:f>
      </x:c>
      <x:c r="R6" s="24" t="str">
        <x:f>IF(A6="","",MAX(0,MIN(100,Q6-IF(P6="No",'Assumptions'!$B$7,0))))</x:f>
      </x:c>
      <x:c r="S6" s="15" t="str">
        <x:f>IF(A6="","",IF(R6&gt;=80,"Strong",IF(R6&gt;=50,"Moderate","Weak")))</x:f>
      </x:c>
      <x:c r="T6" s="29" t="str">
        <x:f>IF(A6="","","Relative prototype score; not measured dBm")</x:f>
      </x:c>
    </x:row>
    <x:row r="7">
      <x:c r="A7" s="30"/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23" t="str">
        <x:f>IF(A7="","",2*'Assumptions'!$B$4*ASIN(SQRT(SIN(RADIANS(F7-I7)/2)^2+COS(RADIANS(F7))*COS(RADIANS(I7))*SIN(RADIANS(G7-J7)/2)^2)))</x:f>
      </x:c>
      <x:c r="M7" s="23" t="str">
        <x:f>IF(A7="","",SQRT(L7^2+((H7*0.3048-K7)/1000)^2))</x:f>
      </x:c>
      <x:c r="N7" s="23" t="str">
        <x:f>IF(A7="","",32.45+20*LOG13(MAX(M7,0.001))+20*LOG13(E7))</x:f>
      </x:c>
      <x:c r="O7" s="23" t="str">
        <x:f>IF(A7="","",'Assumptions'!$B$8*(SQRT(MAX(H7*0.3048,0))+SQRT(MAX(K7,0))))</x:f>
      </x:c>
      <x:c r="P7" s="22" t="str">
        <x:f>IF(A7="","",IF(L7&lt;=O7,"Yes","No"))</x:f>
      </x:c>
      <x:c r="Q7" s="24" t="str">
        <x:f>IF(A7="","",100*('Assumptions'!$B$6-N7)/('Assumptions'!$B$6-'Assumptions'!$B$5))</x:f>
      </x:c>
      <x:c r="R7" s="24" t="str">
        <x:f>IF(A7="","",MAX(0,MIN(100,Q7-IF(P7="No",'Assumptions'!$B$7,0))))</x:f>
      </x:c>
      <x:c r="S7" s="15" t="str">
        <x:f>IF(A7="","",IF(R7&gt;=80,"Strong",IF(R7&gt;=50,"Moderate","Weak")))</x:f>
      </x:c>
      <x:c r="T7" s="29" t="str">
        <x:f>IF(A7="","","Relative prototype score; not measured dBm")</x:f>
      </x:c>
    </x:row>
    <x:row r="8">
      <x:c r="A8" s="30"/>
      <x:c r="B8" s="15"/>
      <x:c r="C8" s="15"/>
      <x:c r="D8" s="15"/>
      <x:c r="E8" s="15"/>
      <x:c r="F8" s="15"/>
      <x:c r="G8" s="15"/>
      <x:c r="H8" s="15"/>
      <x:c r="I8" s="15"/>
      <x:c r="J8" s="15"/>
      <x:c r="K8" s="15"/>
      <x:c r="L8" s="23" t="str">
        <x:f>IF(A8="","",2*'Assumptions'!$B$4*ASIN(SQRT(SIN(RADIANS(F8-I8)/2)^2+COS(RADIANS(F8))*COS(RADIANS(I8))*SIN(RADIANS(G8-J8)/2)^2)))</x:f>
      </x:c>
      <x:c r="M8" s="23" t="str">
        <x:f>IF(A8="","",SQRT(L8^2+((H8*0.3048-K8)/1000)^2))</x:f>
      </x:c>
      <x:c r="N8" s="23" t="str">
        <x:f>IF(A8="","",32.45+20*LOG14(MAX(M8,0.001))+20*LOG14(E8))</x:f>
      </x:c>
      <x:c r="O8" s="23" t="str">
        <x:f>IF(A8="","",'Assumptions'!$B$8*(SQRT(MAX(H8*0.3048,0))+SQRT(MAX(K8,0))))</x:f>
      </x:c>
      <x:c r="P8" s="22" t="str">
        <x:f>IF(A8="","",IF(L8&lt;=O8,"Yes","No"))</x:f>
      </x:c>
      <x:c r="Q8" s="24" t="str">
        <x:f>IF(A8="","",100*('Assumptions'!$B$6-N8)/('Assumptions'!$B$6-'Assumptions'!$B$5))</x:f>
      </x:c>
      <x:c r="R8" s="24" t="str">
        <x:f>IF(A8="","",MAX(0,MIN(100,Q8-IF(P8="No",'Assumptions'!$B$7,0))))</x:f>
      </x:c>
      <x:c r="S8" s="15" t="str">
        <x:f>IF(A8="","",IF(R8&gt;=80,"Strong",IF(R8&gt;=50,"Moderate","Weak")))</x:f>
      </x:c>
      <x:c r="T8" s="29" t="str">
        <x:f>IF(A8="","","Relative prototype score; not measured dBm")</x:f>
      </x:c>
    </x:row>
    <x:row r="9">
      <x:c r="A9" s="30"/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23" t="str">
        <x:f>IF(A9="","",2*'Assumptions'!$B$4*ASIN(SQRT(SIN(RADIANS(F9-I9)/2)^2+COS(RADIANS(F9))*COS(RADIANS(I9))*SIN(RADIANS(G9-J9)/2)^2)))</x:f>
      </x:c>
      <x:c r="M9" s="23" t="str">
        <x:f>IF(A9="","",SQRT(L9^2+((H9*0.3048-K9)/1000)^2))</x:f>
      </x:c>
      <x:c r="N9" s="23" t="str">
        <x:f>IF(A9="","",32.45+20*LOG15(MAX(M9,0.001))+20*LOG15(E9))</x:f>
      </x:c>
      <x:c r="O9" s="23" t="str">
        <x:f>IF(A9="","",'Assumptions'!$B$8*(SQRT(MAX(H9*0.3048,0))+SQRT(MAX(K9,0))))</x:f>
      </x:c>
      <x:c r="P9" s="22" t="str">
        <x:f>IF(A9="","",IF(L9&lt;=O9,"Yes","No"))</x:f>
      </x:c>
      <x:c r="Q9" s="24" t="str">
        <x:f>IF(A9="","",100*('Assumptions'!$B$6-N9)/('Assumptions'!$B$6-'Assumptions'!$B$5))</x:f>
      </x:c>
      <x:c r="R9" s="24" t="str">
        <x:f>IF(A9="","",MAX(0,MIN(100,Q9-IF(P9="No",'Assumptions'!$B$7,0))))</x:f>
      </x:c>
      <x:c r="S9" s="15" t="str">
        <x:f>IF(A9="","",IF(R9&gt;=80,"Strong",IF(R9&gt;=50,"Moderate","Weak")))</x:f>
      </x:c>
      <x:c r="T9" s="29" t="str">
        <x:f>IF(A9="","","Relative prototype score; not measured dBm")</x:f>
      </x:c>
    </x:row>
    <x:row r="10">
      <x:c r="A10" s="30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23" t="str">
        <x:f>IF(A10="","",2*'Assumptions'!$B$4*ASIN(SQRT(SIN(RADIANS(F10-I10)/2)^2+COS(RADIANS(F10))*COS(RADIANS(I10))*SIN(RADIANS(G10-J10)/2)^2)))</x:f>
      </x:c>
      <x:c r="M10" s="23" t="str">
        <x:f>IF(A10="","",SQRT(L10^2+((H10*0.3048-K10)/1000)^2))</x:f>
      </x:c>
      <x:c r="N10" s="23" t="str">
        <x:f>IF(A10="","",32.45+20*LOG16(MAX(M10,0.001))+20*LOG16(E10))</x:f>
      </x:c>
      <x:c r="O10" s="23" t="str">
        <x:f>IF(A10="","",'Assumptions'!$B$8*(SQRT(MAX(H10*0.3048,0))+SQRT(MAX(K10,0))))</x:f>
      </x:c>
      <x:c r="P10" s="22" t="str">
        <x:f>IF(A10="","",IF(L10&lt;=O10,"Yes","No"))</x:f>
      </x:c>
      <x:c r="Q10" s="24" t="str">
        <x:f>IF(A10="","",100*('Assumptions'!$B$6-N10)/('Assumptions'!$B$6-'Assumptions'!$B$5))</x:f>
      </x:c>
      <x:c r="R10" s="24" t="str">
        <x:f>IF(A10="","",MAX(0,MIN(100,Q10-IF(P10="No",'Assumptions'!$B$7,0))))</x:f>
      </x:c>
      <x:c r="S10" s="15" t="str">
        <x:f>IF(A10="","",IF(R10&gt;=80,"Strong",IF(R10&gt;=50,"Moderate","Weak")))</x:f>
      </x:c>
      <x:c r="T10" s="29" t="str">
        <x:f>IF(A10="","","Relative prototype score; not measured dBm")</x:f>
      </x:c>
    </x:row>
    <x:row r="11">
      <x:c r="A11" s="30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23" t="str">
        <x:f>IF(A11="","",2*'Assumptions'!$B$4*ASIN(SQRT(SIN(RADIANS(F11-I11)/2)^2+COS(RADIANS(F11))*COS(RADIANS(I11))*SIN(RADIANS(G11-J11)/2)^2)))</x:f>
      </x:c>
      <x:c r="M11" s="23" t="str">
        <x:f>IF(A11="","",SQRT(L11^2+((H11*0.3048-K11)/1000)^2))</x:f>
      </x:c>
      <x:c r="N11" s="23" t="str">
        <x:f>IF(A11="","",32.45+20*LOG17(MAX(M11,0.001))+20*LOG17(E11))</x:f>
      </x:c>
      <x:c r="O11" s="23" t="str">
        <x:f>IF(A11="","",'Assumptions'!$B$8*(SQRT(MAX(H11*0.3048,0))+SQRT(MAX(K11,0))))</x:f>
      </x:c>
      <x:c r="P11" s="22" t="str">
        <x:f>IF(A11="","",IF(L11&lt;=O11,"Yes","No"))</x:f>
      </x:c>
      <x:c r="Q11" s="24" t="str">
        <x:f>IF(A11="","",100*('Assumptions'!$B$6-N11)/('Assumptions'!$B$6-'Assumptions'!$B$5))</x:f>
      </x:c>
      <x:c r="R11" s="24" t="str">
        <x:f>IF(A11="","",MAX(0,MIN(100,Q11-IF(P11="No",'Assumptions'!$B$7,0))))</x:f>
      </x:c>
      <x:c r="S11" s="15" t="str">
        <x:f>IF(A11="","",IF(R11&gt;=80,"Strong",IF(R11&gt;=50,"Moderate","Weak")))</x:f>
      </x:c>
      <x:c r="T11" s="29" t="str">
        <x:f>IF(A11="","","Relative prototype score; not measured dBm")</x:f>
      </x:c>
    </x:row>
    <x:row r="12">
      <x:c r="A12" s="30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  <x:c r="L12" s="23" t="str">
        <x:f>IF(A12="","",2*'Assumptions'!$B$4*ASIN(SQRT(SIN(RADIANS(F12-I12)/2)^2+COS(RADIANS(F12))*COS(RADIANS(I12))*SIN(RADIANS(G12-J12)/2)^2)))</x:f>
      </x:c>
      <x:c r="M12" s="23" t="str">
        <x:f>IF(A12="","",SQRT(L12^2+((H12*0.3048-K12)/1000)^2))</x:f>
      </x:c>
      <x:c r="N12" s="23" t="str">
        <x:f>IF(A12="","",32.45+20*LOG18(MAX(M12,0.001))+20*LOG18(E12))</x:f>
      </x:c>
      <x:c r="O12" s="23" t="str">
        <x:f>IF(A12="","",'Assumptions'!$B$8*(SQRT(MAX(H12*0.3048,0))+SQRT(MAX(K12,0))))</x:f>
      </x:c>
      <x:c r="P12" s="22" t="str">
        <x:f>IF(A12="","",IF(L12&lt;=O12,"Yes","No"))</x:f>
      </x:c>
      <x:c r="Q12" s="24" t="str">
        <x:f>IF(A12="","",100*('Assumptions'!$B$6-N12)/('Assumptions'!$B$6-'Assumptions'!$B$5))</x:f>
      </x:c>
      <x:c r="R12" s="24" t="str">
        <x:f>IF(A12="","",MAX(0,MIN(100,Q12-IF(P12="No",'Assumptions'!$B$7,0))))</x:f>
      </x:c>
      <x:c r="S12" s="15" t="str">
        <x:f>IF(A12="","",IF(R12&gt;=80,"Strong",IF(R12&gt;=50,"Moderate","Weak")))</x:f>
      </x:c>
      <x:c r="T12" s="29" t="str">
        <x:f>IF(A12="","","Relative prototype score; not measured dBm")</x:f>
      </x:c>
    </x:row>
    <x:row r="13">
      <x:c r="A13" s="30"/>
      <x:c r="B13" s="15"/>
      <x:c r="C13" s="15"/>
      <x:c r="D13" s="15"/>
      <x:c r="E13" s="15"/>
      <x:c r="F13" s="15"/>
      <x:c r="G13" s="15"/>
      <x:c r="H13" s="15"/>
      <x:c r="I13" s="15"/>
      <x:c r="J13" s="15"/>
      <x:c r="K13" s="15"/>
      <x:c r="L13" s="23" t="str">
        <x:f>IF(A13="","",2*'Assumptions'!$B$4*ASIN(SQRT(SIN(RADIANS(F13-I13)/2)^2+COS(RADIANS(F13))*COS(RADIANS(I13))*SIN(RADIANS(G13-J13)/2)^2)))</x:f>
      </x:c>
      <x:c r="M13" s="23" t="str">
        <x:f>IF(A13="","",SQRT(L13^2+((H13*0.3048-K13)/1000)^2))</x:f>
      </x:c>
      <x:c r="N13" s="23" t="str">
        <x:f>IF(A13="","",32.45+20*LOG19(MAX(M13,0.001))+20*LOG19(E13))</x:f>
      </x:c>
      <x:c r="O13" s="23" t="str">
        <x:f>IF(A13="","",'Assumptions'!$B$8*(SQRT(MAX(H13*0.3048,0))+SQRT(MAX(K13,0))))</x:f>
      </x:c>
      <x:c r="P13" s="22" t="str">
        <x:f>IF(A13="","",IF(L13&lt;=O13,"Yes","No"))</x:f>
      </x:c>
      <x:c r="Q13" s="24" t="str">
        <x:f>IF(A13="","",100*('Assumptions'!$B$6-N13)/('Assumptions'!$B$6-'Assumptions'!$B$5))</x:f>
      </x:c>
      <x:c r="R13" s="24" t="str">
        <x:f>IF(A13="","",MAX(0,MIN(100,Q13-IF(P13="No",'Assumptions'!$B$7,0))))</x:f>
      </x:c>
      <x:c r="S13" s="15" t="str">
        <x:f>IF(A13="","",IF(R13&gt;=80,"Strong",IF(R13&gt;=50,"Moderate","Weak")))</x:f>
      </x:c>
      <x:c r="T13" s="29" t="str">
        <x:f>IF(A13="","","Relative prototype score; not measured dBm")</x:f>
      </x:c>
    </x:row>
    <x:row r="14">
      <x:c r="A14" s="30"/>
      <x:c r="B14" s="15"/>
      <x:c r="C14" s="15"/>
      <x:c r="D14" s="15"/>
      <x:c r="E14" s="15"/>
      <x:c r="F14" s="15"/>
      <x:c r="G14" s="15"/>
      <x:c r="H14" s="15"/>
      <x:c r="I14" s="15"/>
      <x:c r="J14" s="15"/>
      <x:c r="K14" s="15"/>
      <x:c r="L14" s="23" t="str">
        <x:f>IF(A14="","",2*'Assumptions'!$B$4*ASIN(SQRT(SIN(RADIANS(F14-I14)/2)^2+COS(RADIANS(F14))*COS(RADIANS(I14))*SIN(RADIANS(G14-J14)/2)^2)))</x:f>
      </x:c>
      <x:c r="M14" s="23" t="str">
        <x:f>IF(A14="","",SQRT(L14^2+((H14*0.3048-K14)/1000)^2))</x:f>
      </x:c>
      <x:c r="N14" s="23" t="str">
        <x:f>IF(A14="","",32.45+20*LOG20(MAX(M14,0.001))+20*LOG20(E14))</x:f>
      </x:c>
      <x:c r="O14" s="23" t="str">
        <x:f>IF(A14="","",'Assumptions'!$B$8*(SQRT(MAX(H14*0.3048,0))+SQRT(MAX(K14,0))))</x:f>
      </x:c>
      <x:c r="P14" s="22" t="str">
        <x:f>IF(A14="","",IF(L14&lt;=O14,"Yes","No"))</x:f>
      </x:c>
      <x:c r="Q14" s="24" t="str">
        <x:f>IF(A14="","",100*('Assumptions'!$B$6-N14)/('Assumptions'!$B$6-'Assumptions'!$B$5))</x:f>
      </x:c>
      <x:c r="R14" s="24" t="str">
        <x:f>IF(A14="","",MAX(0,MIN(100,Q14-IF(P14="No",'Assumptions'!$B$7,0))))</x:f>
      </x:c>
      <x:c r="S14" s="15" t="str">
        <x:f>IF(A14="","",IF(R14&gt;=80,"Strong",IF(R14&gt;=50,"Moderate","Weak")))</x:f>
      </x:c>
      <x:c r="T14" s="29" t="str">
        <x:f>IF(A14="","","Relative prototype score; not measured dBm")</x:f>
      </x:c>
    </x:row>
    <x:row r="15">
      <x:c r="A15" s="30"/>
      <x:c r="B15" s="15"/>
      <x:c r="C15" s="15"/>
      <x:c r="D15" s="15"/>
      <x:c r="E15" s="15"/>
      <x:c r="F15" s="15"/>
      <x:c r="G15" s="15"/>
      <x:c r="H15" s="15"/>
      <x:c r="I15" s="15"/>
      <x:c r="J15" s="15"/>
      <x:c r="K15" s="15"/>
      <x:c r="L15" s="23" t="str">
        <x:f>IF(A15="","",2*'Assumptions'!$B$4*ASIN(SQRT(SIN(RADIANS(F15-I15)/2)^2+COS(RADIANS(F15))*COS(RADIANS(I15))*SIN(RADIANS(G15-J15)/2)^2)))</x:f>
      </x:c>
      <x:c r="M15" s="23" t="str">
        <x:f>IF(A15="","",SQRT(L15^2+((H15*0.3048-K15)/1000)^2))</x:f>
      </x:c>
      <x:c r="N15" s="23" t="str">
        <x:f>IF(A15="","",32.45+20*LOG21(MAX(M15,0.001))+20*LOG21(E15))</x:f>
      </x:c>
      <x:c r="O15" s="23" t="str">
        <x:f>IF(A15="","",'Assumptions'!$B$8*(SQRT(MAX(H15*0.3048,0))+SQRT(MAX(K15,0))))</x:f>
      </x:c>
      <x:c r="P15" s="22" t="str">
        <x:f>IF(A15="","",IF(L15&lt;=O15,"Yes","No"))</x:f>
      </x:c>
      <x:c r="Q15" s="24" t="str">
        <x:f>IF(A15="","",100*('Assumptions'!$B$6-N15)/('Assumptions'!$B$6-'Assumptions'!$B$5))</x:f>
      </x:c>
      <x:c r="R15" s="24" t="str">
        <x:f>IF(A15="","",MAX(0,MIN(100,Q15-IF(P15="No",'Assumptions'!$B$7,0))))</x:f>
      </x:c>
      <x:c r="S15" s="15" t="str">
        <x:f>IF(A15="","",IF(R15&gt;=80,"Strong",IF(R15&gt;=50,"Moderate","Weak")))</x:f>
      </x:c>
      <x:c r="T15" s="29" t="str">
        <x:f>IF(A15="","","Relative prototype score; not measured dBm")</x:f>
      </x:c>
    </x:row>
    <x:row r="16">
      <x:c r="A16" s="30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23" t="str">
        <x:f>IF(A16="","",2*'Assumptions'!$B$4*ASIN(SQRT(SIN(RADIANS(F16-I16)/2)^2+COS(RADIANS(F16))*COS(RADIANS(I16))*SIN(RADIANS(G16-J16)/2)^2)))</x:f>
      </x:c>
      <x:c r="M16" s="23" t="str">
        <x:f>IF(A16="","",SQRT(L16^2+((H16*0.3048-K16)/1000)^2))</x:f>
      </x:c>
      <x:c r="N16" s="23" t="str">
        <x:f>IF(A16="","",32.45+20*LOG22(MAX(M16,0.001))+20*LOG22(E16))</x:f>
      </x:c>
      <x:c r="O16" s="23" t="str">
        <x:f>IF(A16="","",'Assumptions'!$B$8*(SQRT(MAX(H16*0.3048,0))+SQRT(MAX(K16,0))))</x:f>
      </x:c>
      <x:c r="P16" s="22" t="str">
        <x:f>IF(A16="","",IF(L16&lt;=O16,"Yes","No"))</x:f>
      </x:c>
      <x:c r="Q16" s="24" t="str">
        <x:f>IF(A16="","",100*('Assumptions'!$B$6-N16)/('Assumptions'!$B$6-'Assumptions'!$B$5))</x:f>
      </x:c>
      <x:c r="R16" s="24" t="str">
        <x:f>IF(A16="","",MAX(0,MIN(100,Q16-IF(P16="No",'Assumptions'!$B$7,0))))</x:f>
      </x:c>
      <x:c r="S16" s="15" t="str">
        <x:f>IF(A16="","",IF(R16&gt;=80,"Strong",IF(R16&gt;=50,"Moderate","Weak")))</x:f>
      </x:c>
      <x:c r="T16" s="29" t="str">
        <x:f>IF(A16="","","Relative prototype score; not measured dBm")</x:f>
      </x:c>
    </x:row>
    <x:row r="17">
      <x:c r="A17" s="30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23" t="str">
        <x:f>IF(A17="","",2*'Assumptions'!$B$4*ASIN(SQRT(SIN(RADIANS(F17-I17)/2)^2+COS(RADIANS(F17))*COS(RADIANS(I17))*SIN(RADIANS(G17-J17)/2)^2)))</x:f>
      </x:c>
      <x:c r="M17" s="23" t="str">
        <x:f>IF(A17="","",SQRT(L17^2+((H17*0.3048-K17)/1000)^2))</x:f>
      </x:c>
      <x:c r="N17" s="23" t="str">
        <x:f>IF(A17="","",32.45+20*LOG23(MAX(M17,0.001))+20*LOG23(E17))</x:f>
      </x:c>
      <x:c r="O17" s="23" t="str">
        <x:f>IF(A17="","",'Assumptions'!$B$8*(SQRT(MAX(H17*0.3048,0))+SQRT(MAX(K17,0))))</x:f>
      </x:c>
      <x:c r="P17" s="22" t="str">
        <x:f>IF(A17="","",IF(L17&lt;=O17,"Yes","No"))</x:f>
      </x:c>
      <x:c r="Q17" s="24" t="str">
        <x:f>IF(A17="","",100*('Assumptions'!$B$6-N17)/('Assumptions'!$B$6-'Assumptions'!$B$5))</x:f>
      </x:c>
      <x:c r="R17" s="24" t="str">
        <x:f>IF(A17="","",MAX(0,MIN(100,Q17-IF(P17="No",'Assumptions'!$B$7,0))))</x:f>
      </x:c>
      <x:c r="S17" s="15" t="str">
        <x:f>IF(A17="","",IF(R17&gt;=80,"Strong",IF(R17&gt;=50,"Moderate","Weak")))</x:f>
      </x:c>
      <x:c r="T17" s="29" t="str">
        <x:f>IF(A17="","","Relative prototype score; not measured dBm")</x:f>
      </x:c>
    </x:row>
    <x:row r="18">
      <x:c r="A18" s="30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  <x:c r="L18" s="23" t="str">
        <x:f>IF(A18="","",2*'Assumptions'!$B$4*ASIN(SQRT(SIN(RADIANS(F18-I18)/2)^2+COS(RADIANS(F18))*COS(RADIANS(I18))*SIN(RADIANS(G18-J18)/2)^2)))</x:f>
      </x:c>
      <x:c r="M18" s="23" t="str">
        <x:f>IF(A18="","",SQRT(L18^2+((H18*0.3048-K18)/1000)^2))</x:f>
      </x:c>
      <x:c r="N18" s="23" t="str">
        <x:f>IF(A18="","",32.45+20*LOG24(MAX(M18,0.001))+20*LOG24(E18))</x:f>
      </x:c>
      <x:c r="O18" s="23" t="str">
        <x:f>IF(A18="","",'Assumptions'!$B$8*(SQRT(MAX(H18*0.3048,0))+SQRT(MAX(K18,0))))</x:f>
      </x:c>
      <x:c r="P18" s="22" t="str">
        <x:f>IF(A18="","",IF(L18&lt;=O18,"Yes","No"))</x:f>
      </x:c>
      <x:c r="Q18" s="24" t="str">
        <x:f>IF(A18="","",100*('Assumptions'!$B$6-N18)/('Assumptions'!$B$6-'Assumptions'!$B$5))</x:f>
      </x:c>
      <x:c r="R18" s="24" t="str">
        <x:f>IF(A18="","",MAX(0,MIN(100,Q18-IF(P18="No",'Assumptions'!$B$7,0))))</x:f>
      </x:c>
      <x:c r="S18" s="15" t="str">
        <x:f>IF(A18="","",IF(R18&gt;=80,"Strong",IF(R18&gt;=50,"Moderate","Weak")))</x:f>
      </x:c>
      <x:c r="T18" s="29" t="str">
        <x:f>IF(A18="","","Relative prototype score; not measured dBm")</x:f>
      </x:c>
    </x:row>
    <x:row r="19">
      <x:c r="A19" s="30"/>
      <x:c r="B19" s="15"/>
      <x:c r="C19" s="15"/>
      <x:c r="D19" s="15"/>
      <x:c r="E19" s="15"/>
      <x:c r="F19" s="15"/>
      <x:c r="G19" s="15"/>
      <x:c r="H19" s="15"/>
      <x:c r="I19" s="15"/>
      <x:c r="J19" s="15"/>
      <x:c r="K19" s="15"/>
      <x:c r="L19" s="23" t="str">
        <x:f>IF(A19="","",2*'Assumptions'!$B$4*ASIN(SQRT(SIN(RADIANS(F19-I19)/2)^2+COS(RADIANS(F19))*COS(RADIANS(I19))*SIN(RADIANS(G19-J19)/2)^2)))</x:f>
      </x:c>
      <x:c r="M19" s="23" t="str">
        <x:f>IF(A19="","",SQRT(L19^2+((H19*0.3048-K19)/1000)^2))</x:f>
      </x:c>
      <x:c r="N19" s="23" t="str">
        <x:f>IF(A19="","",32.45+20*LOG25(MAX(M19,0.001))+20*LOG25(E19))</x:f>
      </x:c>
      <x:c r="O19" s="23" t="str">
        <x:f>IF(A19="","",'Assumptions'!$B$8*(SQRT(MAX(H19*0.3048,0))+SQRT(MAX(K19,0))))</x:f>
      </x:c>
      <x:c r="P19" s="22" t="str">
        <x:f>IF(A19="","",IF(L19&lt;=O19,"Yes","No"))</x:f>
      </x:c>
      <x:c r="Q19" s="24" t="str">
        <x:f>IF(A19="","",100*('Assumptions'!$B$6-N19)/('Assumptions'!$B$6-'Assumptions'!$B$5))</x:f>
      </x:c>
      <x:c r="R19" s="24" t="str">
        <x:f>IF(A19="","",MAX(0,MIN(100,Q19-IF(P19="No",'Assumptions'!$B$7,0))))</x:f>
      </x:c>
      <x:c r="S19" s="15" t="str">
        <x:f>IF(A19="","",IF(R19&gt;=80,"Strong",IF(R19&gt;=50,"Moderate","Weak")))</x:f>
      </x:c>
      <x:c r="T19" s="29" t="str">
        <x:f>IF(A19="","","Relative prototype score; not measured dBm")</x:f>
      </x:c>
    </x:row>
    <x:row r="20">
      <x:c r="A20" s="30"/>
      <x:c r="B20" s="15"/>
      <x:c r="C20" s="15"/>
      <x:c r="D20" s="15"/>
      <x:c r="E20" s="15"/>
      <x:c r="F20" s="15"/>
      <x:c r="G20" s="15"/>
      <x:c r="H20" s="15"/>
      <x:c r="I20" s="15"/>
      <x:c r="J20" s="15"/>
      <x:c r="K20" s="15"/>
      <x:c r="L20" s="23" t="str">
        <x:f>IF(A20="","",2*'Assumptions'!$B$4*ASIN(SQRT(SIN(RADIANS(F20-I20)/2)^2+COS(RADIANS(F20))*COS(RADIANS(I20))*SIN(RADIANS(G20-J20)/2)^2)))</x:f>
      </x:c>
      <x:c r="M20" s="23" t="str">
        <x:f>IF(A20="","",SQRT(L20^2+((H20*0.3048-K20)/1000)^2))</x:f>
      </x:c>
      <x:c r="N20" s="23" t="str">
        <x:f>IF(A20="","",32.45+20*LOG26(MAX(M20,0.001))+20*LOG26(E20))</x:f>
      </x:c>
      <x:c r="O20" s="23" t="str">
        <x:f>IF(A20="","",'Assumptions'!$B$8*(SQRT(MAX(H20*0.3048,0))+SQRT(MAX(K20,0))))</x:f>
      </x:c>
      <x:c r="P20" s="22" t="str">
        <x:f>IF(A20="","",IF(L20&lt;=O20,"Yes","No"))</x:f>
      </x:c>
      <x:c r="Q20" s="24" t="str">
        <x:f>IF(A20="","",100*('Assumptions'!$B$6-N20)/('Assumptions'!$B$6-'Assumptions'!$B$5))</x:f>
      </x:c>
      <x:c r="R20" s="24" t="str">
        <x:f>IF(A20="","",MAX(0,MIN(100,Q20-IF(P20="No",'Assumptions'!$B$7,0))))</x:f>
      </x:c>
      <x:c r="S20" s="15" t="str">
        <x:f>IF(A20="","",IF(R20&gt;=80,"Strong",IF(R20&gt;=50,"Moderate","Weak")))</x:f>
      </x:c>
      <x:c r="T20" s="29" t="str">
        <x:f>IF(A20="","","Relative prototype score; not measured dBm")</x:f>
      </x:c>
    </x:row>
    <x:row r="21">
      <x:c r="A21" s="30"/>
      <x:c r="B21" s="15"/>
      <x:c r="C21" s="15"/>
      <x:c r="D21" s="15"/>
      <x:c r="E21" s="15"/>
      <x:c r="F21" s="15"/>
      <x:c r="G21" s="15"/>
      <x:c r="H21" s="15"/>
      <x:c r="I21" s="15"/>
      <x:c r="J21" s="15"/>
      <x:c r="K21" s="15"/>
      <x:c r="L21" s="23" t="str">
        <x:f>IF(A21="","",2*'Assumptions'!$B$4*ASIN(SQRT(SIN(RADIANS(F21-I21)/2)^2+COS(RADIANS(F21))*COS(RADIANS(I21))*SIN(RADIANS(G21-J21)/2)^2)))</x:f>
      </x:c>
      <x:c r="M21" s="23" t="str">
        <x:f>IF(A21="","",SQRT(L21^2+((H21*0.3048-K21)/1000)^2))</x:f>
      </x:c>
      <x:c r="N21" s="23" t="str">
        <x:f>IF(A21="","",32.45+20*LOG27(MAX(M21,0.001))+20*LOG27(E21))</x:f>
      </x:c>
      <x:c r="O21" s="23" t="str">
        <x:f>IF(A21="","",'Assumptions'!$B$8*(SQRT(MAX(H21*0.3048,0))+SQRT(MAX(K21,0))))</x:f>
      </x:c>
      <x:c r="P21" s="22" t="str">
        <x:f>IF(A21="","",IF(L21&lt;=O21,"Yes","No"))</x:f>
      </x:c>
      <x:c r="Q21" s="24" t="str">
        <x:f>IF(A21="","",100*('Assumptions'!$B$6-N21)/('Assumptions'!$B$6-'Assumptions'!$B$5))</x:f>
      </x:c>
      <x:c r="R21" s="24" t="str">
        <x:f>IF(A21="","",MAX(0,MIN(100,Q21-IF(P21="No",'Assumptions'!$B$7,0))))</x:f>
      </x:c>
      <x:c r="S21" s="15" t="str">
        <x:f>IF(A21="","",IF(R21&gt;=80,"Strong",IF(R21&gt;=50,"Moderate","Weak")))</x:f>
      </x:c>
      <x:c r="T21" s="29" t="str">
        <x:f>IF(A21="","","Relative prototype score; not measured dBm")</x:f>
      </x:c>
    </x:row>
    <x:row r="22">
      <x:c r="A22" s="30"/>
      <x:c r="B22" s="15"/>
      <x:c r="C22" s="15"/>
      <x:c r="D22" s="15"/>
      <x:c r="E22" s="15"/>
      <x:c r="F22" s="15"/>
      <x:c r="G22" s="15"/>
      <x:c r="H22" s="15"/>
      <x:c r="I22" s="15"/>
      <x:c r="J22" s="15"/>
      <x:c r="K22" s="15"/>
      <x:c r="L22" s="23" t="str">
        <x:f>IF(A22="","",2*'Assumptions'!$B$4*ASIN(SQRT(SIN(RADIANS(F22-I22)/2)^2+COS(RADIANS(F22))*COS(RADIANS(I22))*SIN(RADIANS(G22-J22)/2)^2)))</x:f>
      </x:c>
      <x:c r="M22" s="23" t="str">
        <x:f>IF(A22="","",SQRT(L22^2+((H22*0.3048-K22)/1000)^2))</x:f>
      </x:c>
      <x:c r="N22" s="23" t="str">
        <x:f>IF(A22="","",32.45+20*LOG28(MAX(M22,0.001))+20*LOG28(E22))</x:f>
      </x:c>
      <x:c r="O22" s="23" t="str">
        <x:f>IF(A22="","",'Assumptions'!$B$8*(SQRT(MAX(H22*0.3048,0))+SQRT(MAX(K22,0))))</x:f>
      </x:c>
      <x:c r="P22" s="22" t="str">
        <x:f>IF(A22="","",IF(L22&lt;=O22,"Yes","No"))</x:f>
      </x:c>
      <x:c r="Q22" s="24" t="str">
        <x:f>IF(A22="","",100*('Assumptions'!$B$6-N22)/('Assumptions'!$B$6-'Assumptions'!$B$5))</x:f>
      </x:c>
      <x:c r="R22" s="24" t="str">
        <x:f>IF(A22="","",MAX(0,MIN(100,Q22-IF(P22="No",'Assumptions'!$B$7,0))))</x:f>
      </x:c>
      <x:c r="S22" s="15" t="str">
        <x:f>IF(A22="","",IF(R22&gt;=80,"Strong",IF(R22&gt;=50,"Moderate","Weak")))</x:f>
      </x:c>
      <x:c r="T22" s="29" t="str">
        <x:f>IF(A22="","","Relative prototype score; not measured dBm")</x:f>
      </x:c>
    </x:row>
    <x:row r="23">
      <x:c r="A23" s="30"/>
      <x:c r="B23" s="15"/>
      <x:c r="C23" s="15"/>
      <x:c r="D23" s="15"/>
      <x:c r="E23" s="15"/>
      <x:c r="F23" s="15"/>
      <x:c r="G23" s="15"/>
      <x:c r="H23" s="15"/>
      <x:c r="I23" s="15"/>
      <x:c r="J23" s="15"/>
      <x:c r="K23" s="15"/>
      <x:c r="L23" s="23" t="str">
        <x:f>IF(A23="","",2*'Assumptions'!$B$4*ASIN(SQRT(SIN(RADIANS(F23-I23)/2)^2+COS(RADIANS(F23))*COS(RADIANS(I23))*SIN(RADIANS(G23-J23)/2)^2)))</x:f>
      </x:c>
      <x:c r="M23" s="23" t="str">
        <x:f>IF(A23="","",SQRT(L23^2+((H23*0.3048-K23)/1000)^2))</x:f>
      </x:c>
      <x:c r="N23" s="23" t="str">
        <x:f>IF(A23="","",32.45+20*LOG29(MAX(M23,0.001))+20*LOG29(E23))</x:f>
      </x:c>
      <x:c r="O23" s="23" t="str">
        <x:f>IF(A23="","",'Assumptions'!$B$8*(SQRT(MAX(H23*0.3048,0))+SQRT(MAX(K23,0))))</x:f>
      </x:c>
      <x:c r="P23" s="22" t="str">
        <x:f>IF(A23="","",IF(L23&lt;=O23,"Yes","No"))</x:f>
      </x:c>
      <x:c r="Q23" s="24" t="str">
        <x:f>IF(A23="","",100*('Assumptions'!$B$6-N23)/('Assumptions'!$B$6-'Assumptions'!$B$5))</x:f>
      </x:c>
      <x:c r="R23" s="24" t="str">
        <x:f>IF(A23="","",MAX(0,MIN(100,Q23-IF(P23="No",'Assumptions'!$B$7,0))))</x:f>
      </x:c>
      <x:c r="S23" s="15" t="str">
        <x:f>IF(A23="","",IF(R23&gt;=80,"Strong",IF(R23&gt;=50,"Moderate","Weak")))</x:f>
      </x:c>
      <x:c r="T23" s="29" t="str">
        <x:f>IF(A23="","","Relative prototype score; not measured dBm")</x:f>
      </x:c>
    </x:row>
    <x:row r="24">
      <x:c r="A24" s="30"/>
      <x:c r="B24" s="15"/>
      <x:c r="C24" s="15"/>
      <x:c r="D24" s="15"/>
      <x:c r="E24" s="15"/>
      <x:c r="F24" s="15"/>
      <x:c r="G24" s="15"/>
      <x:c r="H24" s="15"/>
      <x:c r="I24" s="15"/>
      <x:c r="J24" s="15"/>
      <x:c r="K24" s="15"/>
      <x:c r="L24" s="23" t="str">
        <x:f>IF(A24="","",2*'Assumptions'!$B$4*ASIN(SQRT(SIN(RADIANS(F24-I24)/2)^2+COS(RADIANS(F24))*COS(RADIANS(I24))*SIN(RADIANS(G24-J24)/2)^2)))</x:f>
      </x:c>
      <x:c r="M24" s="23" t="str">
        <x:f>IF(A24="","",SQRT(L24^2+((H24*0.3048-K24)/1000)^2))</x:f>
      </x:c>
      <x:c r="N24" s="23" t="str">
        <x:f>IF(A24="","",32.45+20*LOG30(MAX(M24,0.001))+20*LOG30(E24))</x:f>
      </x:c>
      <x:c r="O24" s="23" t="str">
        <x:f>IF(A24="","",'Assumptions'!$B$8*(SQRT(MAX(H24*0.3048,0))+SQRT(MAX(K24,0))))</x:f>
      </x:c>
      <x:c r="P24" s="22" t="str">
        <x:f>IF(A24="","",IF(L24&lt;=O24,"Yes","No"))</x:f>
      </x:c>
      <x:c r="Q24" s="24" t="str">
        <x:f>IF(A24="","",100*('Assumptions'!$B$6-N24)/('Assumptions'!$B$6-'Assumptions'!$B$5))</x:f>
      </x:c>
      <x:c r="R24" s="24" t="str">
        <x:f>IF(A24="","",MAX(0,MIN(100,Q24-IF(P24="No",'Assumptions'!$B$7,0))))</x:f>
      </x:c>
      <x:c r="S24" s="15" t="str">
        <x:f>IF(A24="","",IF(R24&gt;=80,"Strong",IF(R24&gt;=50,"Moderate","Weak")))</x:f>
      </x:c>
      <x:c r="T24" s="29" t="str">
        <x:f>IF(A24="","","Relative prototype score; not measured dBm")</x:f>
      </x:c>
    </x:row>
    <x:row r="25">
      <x:c r="A25" s="30"/>
      <x:c r="B25" s="15"/>
      <x:c r="C25" s="15"/>
      <x:c r="D25" s="15"/>
      <x:c r="E25" s="15"/>
      <x:c r="F25" s="15"/>
      <x:c r="G25" s="15"/>
      <x:c r="H25" s="15"/>
      <x:c r="I25" s="15"/>
      <x:c r="J25" s="15"/>
      <x:c r="K25" s="15"/>
      <x:c r="L25" s="23" t="str">
        <x:f>IF(A25="","",2*'Assumptions'!$B$4*ASIN(SQRT(SIN(RADIANS(F25-I25)/2)^2+COS(RADIANS(F25))*COS(RADIANS(I25))*SIN(RADIANS(G25-J25)/2)^2)))</x:f>
      </x:c>
      <x:c r="M25" s="23" t="str">
        <x:f>IF(A25="","",SQRT(L25^2+((H25*0.3048-K25)/1000)^2))</x:f>
      </x:c>
      <x:c r="N25" s="23" t="str">
        <x:f>IF(A25="","",32.45+20*LOG31(MAX(M25,0.001))+20*LOG31(E25))</x:f>
      </x:c>
      <x:c r="O25" s="23" t="str">
        <x:f>IF(A25="","",'Assumptions'!$B$8*(SQRT(MAX(H25*0.3048,0))+SQRT(MAX(K25,0))))</x:f>
      </x:c>
      <x:c r="P25" s="22" t="str">
        <x:f>IF(A25="","",IF(L25&lt;=O25,"Yes","No"))</x:f>
      </x:c>
      <x:c r="Q25" s="24" t="str">
        <x:f>IF(A25="","",100*('Assumptions'!$B$6-N25)/('Assumptions'!$B$6-'Assumptions'!$B$5))</x:f>
      </x:c>
      <x:c r="R25" s="24" t="str">
        <x:f>IF(A25="","",MAX(0,MIN(100,Q25-IF(P25="No",'Assumptions'!$B$7,0))))</x:f>
      </x:c>
      <x:c r="S25" s="15" t="str">
        <x:f>IF(A25="","",IF(R25&gt;=80,"Strong",IF(R25&gt;=50,"Moderate","Weak")))</x:f>
      </x:c>
      <x:c r="T25" s="29" t="str">
        <x:f>IF(A25="","","Relative prototype score; not measured dBm")</x:f>
      </x:c>
    </x:row>
    <x:row r="26">
      <x:c r="A26" s="30"/>
      <x:c r="B26" s="15"/>
      <x:c r="C26" s="15"/>
      <x:c r="D26" s="15"/>
      <x:c r="E26" s="15"/>
      <x:c r="F26" s="15"/>
      <x:c r="G26" s="15"/>
      <x:c r="H26" s="15"/>
      <x:c r="I26" s="15"/>
      <x:c r="J26" s="15"/>
      <x:c r="K26" s="15"/>
      <x:c r="L26" s="23" t="str">
        <x:f>IF(A26="","",2*'Assumptions'!$B$4*ASIN(SQRT(SIN(RADIANS(F26-I26)/2)^2+COS(RADIANS(F26))*COS(RADIANS(I26))*SIN(RADIANS(G26-J26)/2)^2)))</x:f>
      </x:c>
      <x:c r="M26" s="23" t="str">
        <x:f>IF(A26="","",SQRT(L26^2+((H26*0.3048-K26)/1000)^2))</x:f>
      </x:c>
      <x:c r="N26" s="23" t="str">
        <x:f>IF(A26="","",32.45+20*LOG32(MAX(M26,0.001))+20*LOG32(E26))</x:f>
      </x:c>
      <x:c r="O26" s="23" t="str">
        <x:f>IF(A26="","",'Assumptions'!$B$8*(SQRT(MAX(H26*0.3048,0))+SQRT(MAX(K26,0))))</x:f>
      </x:c>
      <x:c r="P26" s="22" t="str">
        <x:f>IF(A26="","",IF(L26&lt;=O26,"Yes","No"))</x:f>
      </x:c>
      <x:c r="Q26" s="24" t="str">
        <x:f>IF(A26="","",100*('Assumptions'!$B$6-N26)/('Assumptions'!$B$6-'Assumptions'!$B$5))</x:f>
      </x:c>
      <x:c r="R26" s="24" t="str">
        <x:f>IF(A26="","",MAX(0,MIN(100,Q26-IF(P26="No",'Assumptions'!$B$7,0))))</x:f>
      </x:c>
      <x:c r="S26" s="15" t="str">
        <x:f>IF(A26="","",IF(R26&gt;=80,"Strong",IF(R26&gt;=50,"Moderate","Weak")))</x:f>
      </x:c>
      <x:c r="T26" s="29" t="str">
        <x:f>IF(A26="","","Relative prototype score; not measured dBm")</x:f>
      </x:c>
    </x:row>
    <x:row r="27">
      <x:c r="A27" s="30"/>
      <x:c r="B27" s="15"/>
      <x:c r="C27" s="15"/>
      <x:c r="D27" s="15"/>
      <x:c r="E27" s="15"/>
      <x:c r="F27" s="15"/>
      <x:c r="G27" s="15"/>
      <x:c r="H27" s="15"/>
      <x:c r="I27" s="15"/>
      <x:c r="J27" s="15"/>
      <x:c r="K27" s="15"/>
      <x:c r="L27" s="23" t="str">
        <x:f>IF(A27="","",2*'Assumptions'!$B$4*ASIN(SQRT(SIN(RADIANS(F27-I27)/2)^2+COS(RADIANS(F27))*COS(RADIANS(I27))*SIN(RADIANS(G27-J27)/2)^2)))</x:f>
      </x:c>
      <x:c r="M27" s="23" t="str">
        <x:f>IF(A27="","",SQRT(L27^2+((H27*0.3048-K27)/1000)^2))</x:f>
      </x:c>
      <x:c r="N27" s="23" t="str">
        <x:f>IF(A27="","",32.45+20*LOG33(MAX(M27,0.001))+20*LOG33(E27))</x:f>
      </x:c>
      <x:c r="O27" s="23" t="str">
        <x:f>IF(A27="","",'Assumptions'!$B$8*(SQRT(MAX(H27*0.3048,0))+SQRT(MAX(K27,0))))</x:f>
      </x:c>
      <x:c r="P27" s="22" t="str">
        <x:f>IF(A27="","",IF(L27&lt;=O27,"Yes","No"))</x:f>
      </x:c>
      <x:c r="Q27" s="24" t="str">
        <x:f>IF(A27="","",100*('Assumptions'!$B$6-N27)/('Assumptions'!$B$6-'Assumptions'!$B$5))</x:f>
      </x:c>
      <x:c r="R27" s="24" t="str">
        <x:f>IF(A27="","",MAX(0,MIN(100,Q27-IF(P27="No",'Assumptions'!$B$7,0))))</x:f>
      </x:c>
      <x:c r="S27" s="15" t="str">
        <x:f>IF(A27="","",IF(R27&gt;=80,"Strong",IF(R27&gt;=50,"Moderate","Weak")))</x:f>
      </x:c>
      <x:c r="T27" s="29" t="str">
        <x:f>IF(A27="","","Relative prototype score; not measured dBm")</x:f>
      </x:c>
    </x:row>
    <x:row r="28">
      <x:c r="A28" s="30"/>
      <x:c r="B28" s="15"/>
      <x:c r="C28" s="15"/>
      <x:c r="D28" s="15"/>
      <x:c r="E28" s="15"/>
      <x:c r="F28" s="15"/>
      <x:c r="G28" s="15"/>
      <x:c r="H28" s="15"/>
      <x:c r="I28" s="15"/>
      <x:c r="J28" s="15"/>
      <x:c r="K28" s="15"/>
      <x:c r="L28" s="23" t="str">
        <x:f>IF(A28="","",2*'Assumptions'!$B$4*ASIN(SQRT(SIN(RADIANS(F28-I28)/2)^2+COS(RADIANS(F28))*COS(RADIANS(I28))*SIN(RADIANS(G28-J28)/2)^2)))</x:f>
      </x:c>
      <x:c r="M28" s="23" t="str">
        <x:f>IF(A28="","",SQRT(L28^2+((H28*0.3048-K28)/1000)^2))</x:f>
      </x:c>
      <x:c r="N28" s="23" t="str">
        <x:f>IF(A28="","",32.45+20*LOG34(MAX(M28,0.001))+20*LOG34(E28))</x:f>
      </x:c>
      <x:c r="O28" s="23" t="str">
        <x:f>IF(A28="","",'Assumptions'!$B$8*(SQRT(MAX(H28*0.3048,0))+SQRT(MAX(K28,0))))</x:f>
      </x:c>
      <x:c r="P28" s="22" t="str">
        <x:f>IF(A28="","",IF(L28&lt;=O28,"Yes","No"))</x:f>
      </x:c>
      <x:c r="Q28" s="24" t="str">
        <x:f>IF(A28="","",100*('Assumptions'!$B$6-N28)/('Assumptions'!$B$6-'Assumptions'!$B$5))</x:f>
      </x:c>
      <x:c r="R28" s="24" t="str">
        <x:f>IF(A28="","",MAX(0,MIN(100,Q28-IF(P28="No",'Assumptions'!$B$7,0))))</x:f>
      </x:c>
      <x:c r="S28" s="15" t="str">
        <x:f>IF(A28="","",IF(R28&gt;=80,"Strong",IF(R28&gt;=50,"Moderate","Weak")))</x:f>
      </x:c>
      <x:c r="T28" s="29" t="str">
        <x:f>IF(A28="","","Relative prototype score; not measured dBm")</x:f>
      </x:c>
    </x:row>
    <x:row r="29">
      <x:c r="A29" s="30"/>
      <x:c r="B29" s="15"/>
      <x:c r="C29" s="15"/>
      <x:c r="D29" s="15"/>
      <x:c r="E29" s="15"/>
      <x:c r="F29" s="15"/>
      <x:c r="G29" s="15"/>
      <x:c r="H29" s="15"/>
      <x:c r="I29" s="15"/>
      <x:c r="J29" s="15"/>
      <x:c r="K29" s="15"/>
      <x:c r="L29" s="23" t="str">
        <x:f>IF(A29="","",2*'Assumptions'!$B$4*ASIN(SQRT(SIN(RADIANS(F29-I29)/2)^2+COS(RADIANS(F29))*COS(RADIANS(I29))*SIN(RADIANS(G29-J29)/2)^2)))</x:f>
      </x:c>
      <x:c r="M29" s="23" t="str">
        <x:f>IF(A29="","",SQRT(L29^2+((H29*0.3048-K29)/1000)^2))</x:f>
      </x:c>
      <x:c r="N29" s="23" t="str">
        <x:f>IF(A29="","",32.45+20*LOG35(MAX(M29,0.001))+20*LOG35(E29))</x:f>
      </x:c>
      <x:c r="O29" s="23" t="str">
        <x:f>IF(A29="","",'Assumptions'!$B$8*(SQRT(MAX(H29*0.3048,0))+SQRT(MAX(K29,0))))</x:f>
      </x:c>
      <x:c r="P29" s="22" t="str">
        <x:f>IF(A29="","",IF(L29&lt;=O29,"Yes","No"))</x:f>
      </x:c>
      <x:c r="Q29" s="24" t="str">
        <x:f>IF(A29="","",100*('Assumptions'!$B$6-N29)/('Assumptions'!$B$6-'Assumptions'!$B$5))</x:f>
      </x:c>
      <x:c r="R29" s="24" t="str">
        <x:f>IF(A29="","",MAX(0,MIN(100,Q29-IF(P29="No",'Assumptions'!$B$7,0))))</x:f>
      </x:c>
      <x:c r="S29" s="15" t="str">
        <x:f>IF(A29="","",IF(R29&gt;=80,"Strong",IF(R29&gt;=50,"Moderate","Weak")))</x:f>
      </x:c>
      <x:c r="T29" s="29" t="str">
        <x:f>IF(A29="","","Relative prototype score; not measured dBm")</x:f>
      </x:c>
    </x:row>
    <x:row r="30">
      <x:c r="A30" s="30"/>
      <x:c r="B30" s="15"/>
      <x:c r="C30" s="15"/>
      <x:c r="D30" s="15"/>
      <x:c r="E30" s="15"/>
      <x:c r="F30" s="15"/>
      <x:c r="G30" s="15"/>
      <x:c r="H30" s="15"/>
      <x:c r="I30" s="15"/>
      <x:c r="J30" s="15"/>
      <x:c r="K30" s="15"/>
      <x:c r="L30" s="23" t="str">
        <x:f>IF(A30="","",2*'Assumptions'!$B$4*ASIN(SQRT(SIN(RADIANS(F30-I30)/2)^2+COS(RADIANS(F30))*COS(RADIANS(I30))*SIN(RADIANS(G30-J30)/2)^2)))</x:f>
      </x:c>
      <x:c r="M30" s="23" t="str">
        <x:f>IF(A30="","",SQRT(L30^2+((H30*0.3048-K30)/1000)^2))</x:f>
      </x:c>
      <x:c r="N30" s="23" t="str">
        <x:f>IF(A30="","",32.45+20*LOG36(MAX(M30,0.001))+20*LOG36(E30))</x:f>
      </x:c>
      <x:c r="O30" s="23" t="str">
        <x:f>IF(A30="","",'Assumptions'!$B$8*(SQRT(MAX(H30*0.3048,0))+SQRT(MAX(K30,0))))</x:f>
      </x:c>
      <x:c r="P30" s="22" t="str">
        <x:f>IF(A30="","",IF(L30&lt;=O30,"Yes","No"))</x:f>
      </x:c>
      <x:c r="Q30" s="24" t="str">
        <x:f>IF(A30="","",100*('Assumptions'!$B$6-N30)/('Assumptions'!$B$6-'Assumptions'!$B$5))</x:f>
      </x:c>
      <x:c r="R30" s="24" t="str">
        <x:f>IF(A30="","",MAX(0,MIN(100,Q30-IF(P30="No",'Assumptions'!$B$7,0))))</x:f>
      </x:c>
      <x:c r="S30" s="15" t="str">
        <x:f>IF(A30="","",IF(R30&gt;=80,"Strong",IF(R30&gt;=50,"Moderate","Weak")))</x:f>
      </x:c>
      <x:c r="T30" s="29" t="str">
        <x:f>IF(A30="","","Relative prototype score; not measured dBm")</x:f>
      </x:c>
    </x:row>
    <x:row r="31">
      <x:c r="A31" s="30"/>
      <x:c r="B31" s="15"/>
      <x:c r="C31" s="15"/>
      <x:c r="D31" s="15"/>
      <x:c r="E31" s="15"/>
      <x:c r="F31" s="15"/>
      <x:c r="G31" s="15"/>
      <x:c r="H31" s="15"/>
      <x:c r="I31" s="15"/>
      <x:c r="J31" s="15"/>
      <x:c r="K31" s="15"/>
      <x:c r="L31" s="23" t="str">
        <x:f>IF(A31="","",2*'Assumptions'!$B$4*ASIN(SQRT(SIN(RADIANS(F31-I31)/2)^2+COS(RADIANS(F31))*COS(RADIANS(I31))*SIN(RADIANS(G31-J31)/2)^2)))</x:f>
      </x:c>
      <x:c r="M31" s="23" t="str">
        <x:f>IF(A31="","",SQRT(L31^2+((H31*0.3048-K31)/1000)^2))</x:f>
      </x:c>
      <x:c r="N31" s="23" t="str">
        <x:f>IF(A31="","",32.45+20*LOG37(MAX(M31,0.001))+20*LOG37(E31))</x:f>
      </x:c>
      <x:c r="O31" s="23" t="str">
        <x:f>IF(A31="","",'Assumptions'!$B$8*(SQRT(MAX(H31*0.3048,0))+SQRT(MAX(K31,0))))</x:f>
      </x:c>
      <x:c r="P31" s="22" t="str">
        <x:f>IF(A31="","",IF(L31&lt;=O31,"Yes","No"))</x:f>
      </x:c>
      <x:c r="Q31" s="24" t="str">
        <x:f>IF(A31="","",100*('Assumptions'!$B$6-N31)/('Assumptions'!$B$6-'Assumptions'!$B$5))</x:f>
      </x:c>
      <x:c r="R31" s="24" t="str">
        <x:f>IF(A31="","",MAX(0,MIN(100,Q31-IF(P31="No",'Assumptions'!$B$7,0))))</x:f>
      </x:c>
      <x:c r="S31" s="15" t="str">
        <x:f>IF(A31="","",IF(R31&gt;=80,"Strong",IF(R31&gt;=50,"Moderate","Weak")))</x:f>
      </x:c>
      <x:c r="T31" s="29" t="str">
        <x:f>IF(A31="","","Relative prototype score; not measured dBm")</x:f>
      </x:c>
    </x:row>
    <x:row r="32">
      <x:c r="A32" s="30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  <x:c r="L32" s="23" t="str">
        <x:f>IF(A32="","",2*'Assumptions'!$B$4*ASIN(SQRT(SIN(RADIANS(F32-I32)/2)^2+COS(RADIANS(F32))*COS(RADIANS(I32))*SIN(RADIANS(G32-J32)/2)^2)))</x:f>
      </x:c>
      <x:c r="M32" s="23" t="str">
        <x:f>IF(A32="","",SQRT(L32^2+((H32*0.3048-K32)/1000)^2))</x:f>
      </x:c>
      <x:c r="N32" s="23" t="str">
        <x:f>IF(A32="","",32.45+20*LOG38(MAX(M32,0.001))+20*LOG38(E32))</x:f>
      </x:c>
      <x:c r="O32" s="23" t="str">
        <x:f>IF(A32="","",'Assumptions'!$B$8*(SQRT(MAX(H32*0.3048,0))+SQRT(MAX(K32,0))))</x:f>
      </x:c>
      <x:c r="P32" s="22" t="str">
        <x:f>IF(A32="","",IF(L32&lt;=O32,"Yes","No"))</x:f>
      </x:c>
      <x:c r="Q32" s="24" t="str">
        <x:f>IF(A32="","",100*('Assumptions'!$B$6-N32)/('Assumptions'!$B$6-'Assumptions'!$B$5))</x:f>
      </x:c>
      <x:c r="R32" s="24" t="str">
        <x:f>IF(A32="","",MAX(0,MIN(100,Q32-IF(P32="No",'Assumptions'!$B$7,0))))</x:f>
      </x:c>
      <x:c r="S32" s="15" t="str">
        <x:f>IF(A32="","",IF(R32&gt;=80,"Strong",IF(R32&gt;=50,"Moderate","Weak")))</x:f>
      </x:c>
      <x:c r="T32" s="29" t="str">
        <x:f>IF(A32="","","Relative prototype score; not measured dBm")</x:f>
      </x:c>
    </x:row>
    <x:row r="33">
      <x:c r="A33" s="30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  <x:c r="L33" s="23" t="str">
        <x:f>IF(A33="","",2*'Assumptions'!$B$4*ASIN(SQRT(SIN(RADIANS(F33-I33)/2)^2+COS(RADIANS(F33))*COS(RADIANS(I33))*SIN(RADIANS(G33-J33)/2)^2)))</x:f>
      </x:c>
      <x:c r="M33" s="23" t="str">
        <x:f>IF(A33="","",SQRT(L33^2+((H33*0.3048-K33)/1000)^2))</x:f>
      </x:c>
      <x:c r="N33" s="23" t="str">
        <x:f>IF(A33="","",32.45+20*LOG39(MAX(M33,0.001))+20*LOG39(E33))</x:f>
      </x:c>
      <x:c r="O33" s="23" t="str">
        <x:f>IF(A33="","",'Assumptions'!$B$8*(SQRT(MAX(H33*0.3048,0))+SQRT(MAX(K33,0))))</x:f>
      </x:c>
      <x:c r="P33" s="22" t="str">
        <x:f>IF(A33="","",IF(L33&lt;=O33,"Yes","No"))</x:f>
      </x:c>
      <x:c r="Q33" s="24" t="str">
        <x:f>IF(A33="","",100*('Assumptions'!$B$6-N33)/('Assumptions'!$B$6-'Assumptions'!$B$5))</x:f>
      </x:c>
      <x:c r="R33" s="24" t="str">
        <x:f>IF(A33="","",MAX(0,MIN(100,Q33-IF(P33="No",'Assumptions'!$B$7,0))))</x:f>
      </x:c>
      <x:c r="S33" s="15" t="str">
        <x:f>IF(A33="","",IF(R33&gt;=80,"Strong",IF(R33&gt;=50,"Moderate","Weak")))</x:f>
      </x:c>
      <x:c r="T33" s="29" t="str">
        <x:f>IF(A33="","","Relative prototype score; not measured dBm")</x:f>
      </x:c>
    </x:row>
    <x:row r="34">
      <x:c r="A34" s="30"/>
      <x:c r="B34" s="15"/>
      <x:c r="C34" s="15"/>
      <x:c r="D34" s="15"/>
      <x:c r="E34" s="15"/>
      <x:c r="F34" s="15"/>
      <x:c r="G34" s="15"/>
      <x:c r="H34" s="15"/>
      <x:c r="I34" s="15"/>
      <x:c r="J34" s="15"/>
      <x:c r="K34" s="15"/>
      <x:c r="L34" s="23" t="str">
        <x:f>IF(A34="","",2*'Assumptions'!$B$4*ASIN(SQRT(SIN(RADIANS(F34-I34)/2)^2+COS(RADIANS(F34))*COS(RADIANS(I34))*SIN(RADIANS(G34-J34)/2)^2)))</x:f>
      </x:c>
      <x:c r="M34" s="23" t="str">
        <x:f>IF(A34="","",SQRT(L34^2+((H34*0.3048-K34)/1000)^2))</x:f>
      </x:c>
      <x:c r="N34" s="23" t="str">
        <x:f>IF(A34="","",32.45+20*LOG40(MAX(M34,0.001))+20*LOG40(E34))</x:f>
      </x:c>
      <x:c r="O34" s="23" t="str">
        <x:f>IF(A34="","",'Assumptions'!$B$8*(SQRT(MAX(H34*0.3048,0))+SQRT(MAX(K34,0))))</x:f>
      </x:c>
      <x:c r="P34" s="22" t="str">
        <x:f>IF(A34="","",IF(L34&lt;=O34,"Yes","No"))</x:f>
      </x:c>
      <x:c r="Q34" s="24" t="str">
        <x:f>IF(A34="","",100*('Assumptions'!$B$6-N34)/('Assumptions'!$B$6-'Assumptions'!$B$5))</x:f>
      </x:c>
      <x:c r="R34" s="24" t="str">
        <x:f>IF(A34="","",MAX(0,MIN(100,Q34-IF(P34="No",'Assumptions'!$B$7,0))))</x:f>
      </x:c>
      <x:c r="S34" s="15" t="str">
        <x:f>IF(A34="","",IF(R34&gt;=80,"Strong",IF(R34&gt;=50,"Moderate","Weak")))</x:f>
      </x:c>
      <x:c r="T34" s="29" t="str">
        <x:f>IF(A34="","","Relative prototype score; not measured dBm")</x:f>
      </x:c>
    </x:row>
    <x:row r="35">
      <x:c r="A35" s="30"/>
      <x:c r="B35" s="15"/>
      <x:c r="C35" s="15"/>
      <x:c r="D35" s="15"/>
      <x:c r="E35" s="15"/>
      <x:c r="F35" s="15"/>
      <x:c r="G35" s="15"/>
      <x:c r="H35" s="15"/>
      <x:c r="I35" s="15"/>
      <x:c r="J35" s="15"/>
      <x:c r="K35" s="15"/>
      <x:c r="L35" s="23" t="str">
        <x:f>IF(A35="","",2*'Assumptions'!$B$4*ASIN(SQRT(SIN(RADIANS(F35-I35)/2)^2+COS(RADIANS(F35))*COS(RADIANS(I35))*SIN(RADIANS(G35-J35)/2)^2)))</x:f>
      </x:c>
      <x:c r="M35" s="23" t="str">
        <x:f>IF(A35="","",SQRT(L35^2+((H35*0.3048-K35)/1000)^2))</x:f>
      </x:c>
      <x:c r="N35" s="23" t="str">
        <x:f>IF(A35="","",32.45+20*LOG41(MAX(M35,0.001))+20*LOG41(E35))</x:f>
      </x:c>
      <x:c r="O35" s="23" t="str">
        <x:f>IF(A35="","",'Assumptions'!$B$8*(SQRT(MAX(H35*0.3048,0))+SQRT(MAX(K35,0))))</x:f>
      </x:c>
      <x:c r="P35" s="22" t="str">
        <x:f>IF(A35="","",IF(L35&lt;=O35,"Yes","No"))</x:f>
      </x:c>
      <x:c r="Q35" s="24" t="str">
        <x:f>IF(A35="","",100*('Assumptions'!$B$6-N35)/('Assumptions'!$B$6-'Assumptions'!$B$5))</x:f>
      </x:c>
      <x:c r="R35" s="24" t="str">
        <x:f>IF(A35="","",MAX(0,MIN(100,Q35-IF(P35="No",'Assumptions'!$B$7,0))))</x:f>
      </x:c>
      <x:c r="S35" s="15" t="str">
        <x:f>IF(A35="","",IF(R35&gt;=80,"Strong",IF(R35&gt;=50,"Moderate","Weak")))</x:f>
      </x:c>
      <x:c r="T35" s="29" t="str">
        <x:f>IF(A35="","","Relative prototype score; not measured dBm")</x:f>
      </x:c>
    </x:row>
    <x:row r="36">
      <x:c r="A36" s="30"/>
      <x:c r="B36" s="15"/>
      <x:c r="C36" s="15"/>
      <x:c r="D36" s="15"/>
      <x:c r="E36" s="15"/>
      <x:c r="F36" s="15"/>
      <x:c r="G36" s="15"/>
      <x:c r="H36" s="15"/>
      <x:c r="I36" s="15"/>
      <x:c r="J36" s="15"/>
      <x:c r="K36" s="15"/>
      <x:c r="L36" s="23" t="str">
        <x:f>IF(A36="","",2*'Assumptions'!$B$4*ASIN(SQRT(SIN(RADIANS(F36-I36)/2)^2+COS(RADIANS(F36))*COS(RADIANS(I36))*SIN(RADIANS(G36-J36)/2)^2)))</x:f>
      </x:c>
      <x:c r="M36" s="23" t="str">
        <x:f>IF(A36="","",SQRT(L36^2+((H36*0.3048-K36)/1000)^2))</x:f>
      </x:c>
      <x:c r="N36" s="23" t="str">
        <x:f>IF(A36="","",32.45+20*LOG42(MAX(M36,0.001))+20*LOG42(E36))</x:f>
      </x:c>
      <x:c r="O36" s="23" t="str">
        <x:f>IF(A36="","",'Assumptions'!$B$8*(SQRT(MAX(H36*0.3048,0))+SQRT(MAX(K36,0))))</x:f>
      </x:c>
      <x:c r="P36" s="22" t="str">
        <x:f>IF(A36="","",IF(L36&lt;=O36,"Yes","No"))</x:f>
      </x:c>
      <x:c r="Q36" s="24" t="str">
        <x:f>IF(A36="","",100*('Assumptions'!$B$6-N36)/('Assumptions'!$B$6-'Assumptions'!$B$5))</x:f>
      </x:c>
      <x:c r="R36" s="24" t="str">
        <x:f>IF(A36="","",MAX(0,MIN(100,Q36-IF(P36="No",'Assumptions'!$B$7,0))))</x:f>
      </x:c>
      <x:c r="S36" s="15" t="str">
        <x:f>IF(A36="","",IF(R36&gt;=80,"Strong",IF(R36&gt;=50,"Moderate","Weak")))</x:f>
      </x:c>
      <x:c r="T36" s="29" t="str">
        <x:f>IF(A36="","","Relative prototype score; not measured dBm")</x:f>
      </x:c>
    </x:row>
    <x:row r="37">
      <x:c r="A37" s="30"/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23" t="str">
        <x:f>IF(A37="","",2*'Assumptions'!$B$4*ASIN(SQRT(SIN(RADIANS(F37-I37)/2)^2+COS(RADIANS(F37))*COS(RADIANS(I37))*SIN(RADIANS(G37-J37)/2)^2)))</x:f>
      </x:c>
      <x:c r="M37" s="23" t="str">
        <x:f>IF(A37="","",SQRT(L37^2+((H37*0.3048-K37)/1000)^2))</x:f>
      </x:c>
      <x:c r="N37" s="23" t="str">
        <x:f>IF(A37="","",32.45+20*LOG43(MAX(M37,0.001))+20*LOG43(E37))</x:f>
      </x:c>
      <x:c r="O37" s="23" t="str">
        <x:f>IF(A37="","",'Assumptions'!$B$8*(SQRT(MAX(H37*0.3048,0))+SQRT(MAX(K37,0))))</x:f>
      </x:c>
      <x:c r="P37" s="22" t="str">
        <x:f>IF(A37="","",IF(L37&lt;=O37,"Yes","No"))</x:f>
      </x:c>
      <x:c r="Q37" s="24" t="str">
        <x:f>IF(A37="","",100*('Assumptions'!$B$6-N37)/('Assumptions'!$B$6-'Assumptions'!$B$5))</x:f>
      </x:c>
      <x:c r="R37" s="24" t="str">
        <x:f>IF(A37="","",MAX(0,MIN(100,Q37-IF(P37="No",'Assumptions'!$B$7,0))))</x:f>
      </x:c>
      <x:c r="S37" s="15" t="str">
        <x:f>IF(A37="","",IF(R37&gt;=80,"Strong",IF(R37&gt;=50,"Moderate","Weak")))</x:f>
      </x:c>
      <x:c r="T37" s="29" t="str">
        <x:f>IF(A37="","","Relative prototype score; not measured dBm")</x:f>
      </x:c>
    </x:row>
    <x:row r="38">
      <x:c r="A38" s="30"/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23" t="str">
        <x:f>IF(A38="","",2*'Assumptions'!$B$4*ASIN(SQRT(SIN(RADIANS(F38-I38)/2)^2+COS(RADIANS(F38))*COS(RADIANS(I38))*SIN(RADIANS(G38-J38)/2)^2)))</x:f>
      </x:c>
      <x:c r="M38" s="23" t="str">
        <x:f>IF(A38="","",SQRT(L38^2+((H38*0.3048-K38)/1000)^2))</x:f>
      </x:c>
      <x:c r="N38" s="23" t="str">
        <x:f>IF(A38="","",32.45+20*LOG44(MAX(M38,0.001))+20*LOG44(E38))</x:f>
      </x:c>
      <x:c r="O38" s="23" t="str">
        <x:f>IF(A38="","",'Assumptions'!$B$8*(SQRT(MAX(H38*0.3048,0))+SQRT(MAX(K38,0))))</x:f>
      </x:c>
      <x:c r="P38" s="22" t="str">
        <x:f>IF(A38="","",IF(L38&lt;=O38,"Yes","No"))</x:f>
      </x:c>
      <x:c r="Q38" s="24" t="str">
        <x:f>IF(A38="","",100*('Assumptions'!$B$6-N38)/('Assumptions'!$B$6-'Assumptions'!$B$5))</x:f>
      </x:c>
      <x:c r="R38" s="24" t="str">
        <x:f>IF(A38="","",MAX(0,MIN(100,Q38-IF(P38="No",'Assumptions'!$B$7,0))))</x:f>
      </x:c>
      <x:c r="S38" s="15" t="str">
        <x:f>IF(A38="","",IF(R38&gt;=80,"Strong",IF(R38&gt;=50,"Moderate","Weak")))</x:f>
      </x:c>
      <x:c r="T38" s="29" t="str">
        <x:f>IF(A38="","","Relative prototype score; not measured dBm")</x:f>
      </x:c>
    </x:row>
    <x:row r="39">
      <x:c r="A39" s="30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23" t="str">
        <x:f>IF(A39="","",2*'Assumptions'!$B$4*ASIN(SQRT(SIN(RADIANS(F39-I39)/2)^2+COS(RADIANS(F39))*COS(RADIANS(I39))*SIN(RADIANS(G39-J39)/2)^2)))</x:f>
      </x:c>
      <x:c r="M39" s="23" t="str">
        <x:f>IF(A39="","",SQRT(L39^2+((H39*0.3048-K39)/1000)^2))</x:f>
      </x:c>
      <x:c r="N39" s="23" t="str">
        <x:f>IF(A39="","",32.45+20*LOG45(MAX(M39,0.001))+20*LOG45(E39))</x:f>
      </x:c>
      <x:c r="O39" s="23" t="str">
        <x:f>IF(A39="","",'Assumptions'!$B$8*(SQRT(MAX(H39*0.3048,0))+SQRT(MAX(K39,0))))</x:f>
      </x:c>
      <x:c r="P39" s="22" t="str">
        <x:f>IF(A39="","",IF(L39&lt;=O39,"Yes","No"))</x:f>
      </x:c>
      <x:c r="Q39" s="24" t="str">
        <x:f>IF(A39="","",100*('Assumptions'!$B$6-N39)/('Assumptions'!$B$6-'Assumptions'!$B$5))</x:f>
      </x:c>
      <x:c r="R39" s="24" t="str">
        <x:f>IF(A39="","",MAX(0,MIN(100,Q39-IF(P39="No",'Assumptions'!$B$7,0))))</x:f>
      </x:c>
      <x:c r="S39" s="15" t="str">
        <x:f>IF(A39="","",IF(R39&gt;=80,"Strong",IF(R39&gt;=50,"Moderate","Weak")))</x:f>
      </x:c>
      <x:c r="T39" s="29" t="str">
        <x:f>IF(A39="","","Relative prototype score; not measured dBm")</x:f>
      </x:c>
    </x:row>
    <x:row r="40">
      <x:c r="A40" s="30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23" t="str">
        <x:f>IF(A40="","",2*'Assumptions'!$B$4*ASIN(SQRT(SIN(RADIANS(F40-I40)/2)^2+COS(RADIANS(F40))*COS(RADIANS(I40))*SIN(RADIANS(G40-J40)/2)^2)))</x:f>
      </x:c>
      <x:c r="M40" s="23" t="str">
        <x:f>IF(A40="","",SQRT(L40^2+((H40*0.3048-K40)/1000)^2))</x:f>
      </x:c>
      <x:c r="N40" s="23" t="str">
        <x:f>IF(A40="","",32.45+20*LOG46(MAX(M40,0.001))+20*LOG46(E40))</x:f>
      </x:c>
      <x:c r="O40" s="23" t="str">
        <x:f>IF(A40="","",'Assumptions'!$B$8*(SQRT(MAX(H40*0.3048,0))+SQRT(MAX(K40,0))))</x:f>
      </x:c>
      <x:c r="P40" s="22" t="str">
        <x:f>IF(A40="","",IF(L40&lt;=O40,"Yes","No"))</x:f>
      </x:c>
      <x:c r="Q40" s="24" t="str">
        <x:f>IF(A40="","",100*('Assumptions'!$B$6-N40)/('Assumptions'!$B$6-'Assumptions'!$B$5))</x:f>
      </x:c>
      <x:c r="R40" s="24" t="str">
        <x:f>IF(A40="","",MAX(0,MIN(100,Q40-IF(P40="No",'Assumptions'!$B$7,0))))</x:f>
      </x:c>
      <x:c r="S40" s="15" t="str">
        <x:f>IF(A40="","",IF(R40&gt;=80,"Strong",IF(R40&gt;=50,"Moderate","Weak")))</x:f>
      </x:c>
      <x:c r="T40" s="29" t="str">
        <x:f>IF(A40="","","Relative prototype score; not measured dBm")</x:f>
      </x:c>
    </x:row>
    <x:row r="41">
      <x:c r="A41" s="30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23" t="str">
        <x:f>IF(A41="","",2*'Assumptions'!$B$4*ASIN(SQRT(SIN(RADIANS(F41-I41)/2)^2+COS(RADIANS(F41))*COS(RADIANS(I41))*SIN(RADIANS(G41-J41)/2)^2)))</x:f>
      </x:c>
      <x:c r="M41" s="23" t="str">
        <x:f>IF(A41="","",SQRT(L41^2+((H41*0.3048-K41)/1000)^2))</x:f>
      </x:c>
      <x:c r="N41" s="23" t="str">
        <x:f>IF(A41="","",32.45+20*LOG47(MAX(M41,0.001))+20*LOG47(E41))</x:f>
      </x:c>
      <x:c r="O41" s="23" t="str">
        <x:f>IF(A41="","",'Assumptions'!$B$8*(SQRT(MAX(H41*0.3048,0))+SQRT(MAX(K41,0))))</x:f>
      </x:c>
      <x:c r="P41" s="22" t="str">
        <x:f>IF(A41="","",IF(L41&lt;=O41,"Yes","No"))</x:f>
      </x:c>
      <x:c r="Q41" s="24" t="str">
        <x:f>IF(A41="","",100*('Assumptions'!$B$6-N41)/('Assumptions'!$B$6-'Assumptions'!$B$5))</x:f>
      </x:c>
      <x:c r="R41" s="24" t="str">
        <x:f>IF(A41="","",MAX(0,MIN(100,Q41-IF(P41="No",'Assumptions'!$B$7,0))))</x:f>
      </x:c>
      <x:c r="S41" s="15" t="str">
        <x:f>IF(A41="","",IF(R41&gt;=80,"Strong",IF(R41&gt;=50,"Moderate","Weak")))</x:f>
      </x:c>
      <x:c r="T41" s="29" t="str">
        <x:f>IF(A41="","","Relative prototype score; not measured dBm")</x:f>
      </x:c>
    </x:row>
    <x:row r="42">
      <x:c r="A42" s="30"/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23" t="str">
        <x:f>IF(A42="","",2*'Assumptions'!$B$4*ASIN(SQRT(SIN(RADIANS(F42-I42)/2)^2+COS(RADIANS(F42))*COS(RADIANS(I42))*SIN(RADIANS(G42-J42)/2)^2)))</x:f>
      </x:c>
      <x:c r="M42" s="23" t="str">
        <x:f>IF(A42="","",SQRT(L42^2+((H42*0.3048-K42)/1000)^2))</x:f>
      </x:c>
      <x:c r="N42" s="23" t="str">
        <x:f>IF(A42="","",32.45+20*LOG48(MAX(M42,0.001))+20*LOG48(E42))</x:f>
      </x:c>
      <x:c r="O42" s="23" t="str">
        <x:f>IF(A42="","",'Assumptions'!$B$8*(SQRT(MAX(H42*0.3048,0))+SQRT(MAX(K42,0))))</x:f>
      </x:c>
      <x:c r="P42" s="22" t="str">
        <x:f>IF(A42="","",IF(L42&lt;=O42,"Yes","No"))</x:f>
      </x:c>
      <x:c r="Q42" s="24" t="str">
        <x:f>IF(A42="","",100*('Assumptions'!$B$6-N42)/('Assumptions'!$B$6-'Assumptions'!$B$5))</x:f>
      </x:c>
      <x:c r="R42" s="24" t="str">
        <x:f>IF(A42="","",MAX(0,MIN(100,Q42-IF(P42="No",'Assumptions'!$B$7,0))))</x:f>
      </x:c>
      <x:c r="S42" s="15" t="str">
        <x:f>IF(A42="","",IF(R42&gt;=80,"Strong",IF(R42&gt;=50,"Moderate","Weak")))</x:f>
      </x:c>
      <x:c r="T42" s="29" t="str">
        <x:f>IF(A42="","","Relative prototype score; not measured dBm")</x:f>
      </x:c>
    </x:row>
    <x:row r="43">
      <x:c r="A43" s="30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23" t="str">
        <x:f>IF(A43="","",2*'Assumptions'!$B$4*ASIN(SQRT(SIN(RADIANS(F43-I43)/2)^2+COS(RADIANS(F43))*COS(RADIANS(I43))*SIN(RADIANS(G43-J43)/2)^2)))</x:f>
      </x:c>
      <x:c r="M43" s="23" t="str">
        <x:f>IF(A43="","",SQRT(L43^2+((H43*0.3048-K43)/1000)^2))</x:f>
      </x:c>
      <x:c r="N43" s="23" t="str">
        <x:f>IF(A43="","",32.45+20*LOG49(MAX(M43,0.001))+20*LOG49(E43))</x:f>
      </x:c>
      <x:c r="O43" s="23" t="str">
        <x:f>IF(A43="","",'Assumptions'!$B$8*(SQRT(MAX(H43*0.3048,0))+SQRT(MAX(K43,0))))</x:f>
      </x:c>
      <x:c r="P43" s="22" t="str">
        <x:f>IF(A43="","",IF(L43&lt;=O43,"Yes","No"))</x:f>
      </x:c>
      <x:c r="Q43" s="24" t="str">
        <x:f>IF(A43="","",100*('Assumptions'!$B$6-N43)/('Assumptions'!$B$6-'Assumptions'!$B$5))</x:f>
      </x:c>
      <x:c r="R43" s="24" t="str">
        <x:f>IF(A43="","",MAX(0,MIN(100,Q43-IF(P43="No",'Assumptions'!$B$7,0))))</x:f>
      </x:c>
      <x:c r="S43" s="15" t="str">
        <x:f>IF(A43="","",IF(R43&gt;=80,"Strong",IF(R43&gt;=50,"Moderate","Weak")))</x:f>
      </x:c>
      <x:c r="T43" s="29" t="str">
        <x:f>IF(A43="","","Relative prototype score; not measured dBm")</x:f>
      </x:c>
    </x:row>
    <x:row r="44">
      <x:c r="A44" s="30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23" t="str">
        <x:f>IF(A44="","",2*'Assumptions'!$B$4*ASIN(SQRT(SIN(RADIANS(F44-I44)/2)^2+COS(RADIANS(F44))*COS(RADIANS(I44))*SIN(RADIANS(G44-J44)/2)^2)))</x:f>
      </x:c>
      <x:c r="M44" s="23" t="str">
        <x:f>IF(A44="","",SQRT(L44^2+((H44*0.3048-K44)/1000)^2))</x:f>
      </x:c>
      <x:c r="N44" s="23" t="str">
        <x:f>IF(A44="","",32.45+20*LOG50(MAX(M44,0.001))+20*LOG50(E44))</x:f>
      </x:c>
      <x:c r="O44" s="23" t="str">
        <x:f>IF(A44="","",'Assumptions'!$B$8*(SQRT(MAX(H44*0.3048,0))+SQRT(MAX(K44,0))))</x:f>
      </x:c>
      <x:c r="P44" s="22" t="str">
        <x:f>IF(A44="","",IF(L44&lt;=O44,"Yes","No"))</x:f>
      </x:c>
      <x:c r="Q44" s="24" t="str">
        <x:f>IF(A44="","",100*('Assumptions'!$B$6-N44)/('Assumptions'!$B$6-'Assumptions'!$B$5))</x:f>
      </x:c>
      <x:c r="R44" s="24" t="str">
        <x:f>IF(A44="","",MAX(0,MIN(100,Q44-IF(P44="No",'Assumptions'!$B$7,0))))</x:f>
      </x:c>
      <x:c r="S44" s="15" t="str">
        <x:f>IF(A44="","",IF(R44&gt;=80,"Strong",IF(R44&gt;=50,"Moderate","Weak")))</x:f>
      </x:c>
      <x:c r="T44" s="29" t="str">
        <x:f>IF(A44="","","Relative prototype score; not measured dBm")</x:f>
      </x:c>
    </x:row>
    <x:row r="45">
      <x:c r="A45" s="30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  <x:c r="L45" s="23" t="str">
        <x:f>IF(A45="","",2*'Assumptions'!$B$4*ASIN(SQRT(SIN(RADIANS(F45-I45)/2)^2+COS(RADIANS(F45))*COS(RADIANS(I45))*SIN(RADIANS(G45-J45)/2)^2)))</x:f>
      </x:c>
      <x:c r="M45" s="23" t="str">
        <x:f>IF(A45="","",SQRT(L45^2+((H45*0.3048-K45)/1000)^2))</x:f>
      </x:c>
      <x:c r="N45" s="23" t="str">
        <x:f>IF(A45="","",32.45+20*LOG51(MAX(M45,0.001))+20*LOG51(E45))</x:f>
      </x:c>
      <x:c r="O45" s="23" t="str">
        <x:f>IF(A45="","",'Assumptions'!$B$8*(SQRT(MAX(H45*0.3048,0))+SQRT(MAX(K45,0))))</x:f>
      </x:c>
      <x:c r="P45" s="22" t="str">
        <x:f>IF(A45="","",IF(L45&lt;=O45,"Yes","No"))</x:f>
      </x:c>
      <x:c r="Q45" s="24" t="str">
        <x:f>IF(A45="","",100*('Assumptions'!$B$6-N45)/('Assumptions'!$B$6-'Assumptions'!$B$5))</x:f>
      </x:c>
      <x:c r="R45" s="24" t="str">
        <x:f>IF(A45="","",MAX(0,MIN(100,Q45-IF(P45="No",'Assumptions'!$B$7,0))))</x:f>
      </x:c>
      <x:c r="S45" s="15" t="str">
        <x:f>IF(A45="","",IF(R45&gt;=80,"Strong",IF(R45&gt;=50,"Moderate","Weak")))</x:f>
      </x:c>
      <x:c r="T45" s="29" t="str">
        <x:f>IF(A45="","","Relative prototype score; not measured dBm")</x:f>
      </x:c>
    </x:row>
    <x:row r="46">
      <x:c r="A46" s="30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  <x:c r="L46" s="23" t="str">
        <x:f>IF(A46="","",2*'Assumptions'!$B$4*ASIN(SQRT(SIN(RADIANS(F46-I46)/2)^2+COS(RADIANS(F46))*COS(RADIANS(I46))*SIN(RADIANS(G46-J46)/2)^2)))</x:f>
      </x:c>
      <x:c r="M46" s="23" t="str">
        <x:f>IF(A46="","",SQRT(L46^2+((H46*0.3048-K46)/1000)^2))</x:f>
      </x:c>
      <x:c r="N46" s="23" t="str">
        <x:f>IF(A46="","",32.45+20*LOG52(MAX(M46,0.001))+20*LOG52(E46))</x:f>
      </x:c>
      <x:c r="O46" s="23" t="str">
        <x:f>IF(A46="","",'Assumptions'!$B$8*(SQRT(MAX(H46*0.3048,0))+SQRT(MAX(K46,0))))</x:f>
      </x:c>
      <x:c r="P46" s="22" t="str">
        <x:f>IF(A46="","",IF(L46&lt;=O46,"Yes","No"))</x:f>
      </x:c>
      <x:c r="Q46" s="24" t="str">
        <x:f>IF(A46="","",100*('Assumptions'!$B$6-N46)/('Assumptions'!$B$6-'Assumptions'!$B$5))</x:f>
      </x:c>
      <x:c r="R46" s="24" t="str">
        <x:f>IF(A46="","",MAX(0,MIN(100,Q46-IF(P46="No",'Assumptions'!$B$7,0))))</x:f>
      </x:c>
      <x:c r="S46" s="15" t="str">
        <x:f>IF(A46="","",IF(R46&gt;=80,"Strong",IF(R46&gt;=50,"Moderate","Weak")))</x:f>
      </x:c>
      <x:c r="T46" s="29" t="str">
        <x:f>IF(A46="","","Relative prototype score; not measured dBm")</x:f>
      </x:c>
    </x:row>
    <x:row r="47">
      <x:c r="A47" s="30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  <x:c r="L47" s="23" t="str">
        <x:f>IF(A47="","",2*'Assumptions'!$B$4*ASIN(SQRT(SIN(RADIANS(F47-I47)/2)^2+COS(RADIANS(F47))*COS(RADIANS(I47))*SIN(RADIANS(G47-J47)/2)^2)))</x:f>
      </x:c>
      <x:c r="M47" s="23" t="str">
        <x:f>IF(A47="","",SQRT(L47^2+((H47*0.3048-K47)/1000)^2))</x:f>
      </x:c>
      <x:c r="N47" s="23" t="str">
        <x:f>IF(A47="","",32.45+20*LOG53(MAX(M47,0.001))+20*LOG53(E47))</x:f>
      </x:c>
      <x:c r="O47" s="23" t="str">
        <x:f>IF(A47="","",'Assumptions'!$B$8*(SQRT(MAX(H47*0.3048,0))+SQRT(MAX(K47,0))))</x:f>
      </x:c>
      <x:c r="P47" s="22" t="str">
        <x:f>IF(A47="","",IF(L47&lt;=O47,"Yes","No"))</x:f>
      </x:c>
      <x:c r="Q47" s="24" t="str">
        <x:f>IF(A47="","",100*('Assumptions'!$B$6-N47)/('Assumptions'!$B$6-'Assumptions'!$B$5))</x:f>
      </x:c>
      <x:c r="R47" s="24" t="str">
        <x:f>IF(A47="","",MAX(0,MIN(100,Q47-IF(P47="No",'Assumptions'!$B$7,0))))</x:f>
      </x:c>
      <x:c r="S47" s="15" t="str">
        <x:f>IF(A47="","",IF(R47&gt;=80,"Strong",IF(R47&gt;=50,"Moderate","Weak")))</x:f>
      </x:c>
      <x:c r="T47" s="29" t="str">
        <x:f>IF(A47="","","Relative prototype score; not measured dBm")</x:f>
      </x:c>
    </x:row>
    <x:row r="48">
      <x:c r="A48" s="30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23" t="str">
        <x:f>IF(A48="","",2*'Assumptions'!$B$4*ASIN(SQRT(SIN(RADIANS(F48-I48)/2)^2+COS(RADIANS(F48))*COS(RADIANS(I48))*SIN(RADIANS(G48-J48)/2)^2)))</x:f>
      </x:c>
      <x:c r="M48" s="23" t="str">
        <x:f>IF(A48="","",SQRT(L48^2+((H48*0.3048-K48)/1000)^2))</x:f>
      </x:c>
      <x:c r="N48" s="23" t="str">
        <x:f>IF(A48="","",32.45+20*LOG54(MAX(M48,0.001))+20*LOG54(E48))</x:f>
      </x:c>
      <x:c r="O48" s="23" t="str">
        <x:f>IF(A48="","",'Assumptions'!$B$8*(SQRT(MAX(H48*0.3048,0))+SQRT(MAX(K48,0))))</x:f>
      </x:c>
      <x:c r="P48" s="22" t="str">
        <x:f>IF(A48="","",IF(L48&lt;=O48,"Yes","No"))</x:f>
      </x:c>
      <x:c r="Q48" s="24" t="str">
        <x:f>IF(A48="","",100*('Assumptions'!$B$6-N48)/('Assumptions'!$B$6-'Assumptions'!$B$5))</x:f>
      </x:c>
      <x:c r="R48" s="24" t="str">
        <x:f>IF(A48="","",MAX(0,MIN(100,Q48-IF(P48="No",'Assumptions'!$B$7,0))))</x:f>
      </x:c>
      <x:c r="S48" s="15" t="str">
        <x:f>IF(A48="","",IF(R48&gt;=80,"Strong",IF(R48&gt;=50,"Moderate","Weak")))</x:f>
      </x:c>
      <x:c r="T48" s="29" t="str">
        <x:f>IF(A48="","","Relative prototype score; not measured dBm")</x:f>
      </x:c>
    </x:row>
    <x:row r="49">
      <x:c r="A49" s="30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23" t="str">
        <x:f>IF(A49="","",2*'Assumptions'!$B$4*ASIN(SQRT(SIN(RADIANS(F49-I49)/2)^2+COS(RADIANS(F49))*COS(RADIANS(I49))*SIN(RADIANS(G49-J49)/2)^2)))</x:f>
      </x:c>
      <x:c r="M49" s="23" t="str">
        <x:f>IF(A49="","",SQRT(L49^2+((H49*0.3048-K49)/1000)^2))</x:f>
      </x:c>
      <x:c r="N49" s="23" t="str">
        <x:f>IF(A49="","",32.45+20*LOG55(MAX(M49,0.001))+20*LOG55(E49))</x:f>
      </x:c>
      <x:c r="O49" s="23" t="str">
        <x:f>IF(A49="","",'Assumptions'!$B$8*(SQRT(MAX(H49*0.3048,0))+SQRT(MAX(K49,0))))</x:f>
      </x:c>
      <x:c r="P49" s="22" t="str">
        <x:f>IF(A49="","",IF(L49&lt;=O49,"Yes","No"))</x:f>
      </x:c>
      <x:c r="Q49" s="24" t="str">
        <x:f>IF(A49="","",100*('Assumptions'!$B$6-N49)/('Assumptions'!$B$6-'Assumptions'!$B$5))</x:f>
      </x:c>
      <x:c r="R49" s="24" t="str">
        <x:f>IF(A49="","",MAX(0,MIN(100,Q49-IF(P49="No",'Assumptions'!$B$7,0))))</x:f>
      </x:c>
      <x:c r="S49" s="15" t="str">
        <x:f>IF(A49="","",IF(R49&gt;=80,"Strong",IF(R49&gt;=50,"Moderate","Weak")))</x:f>
      </x:c>
      <x:c r="T49" s="29" t="str">
        <x:f>IF(A49="","","Relative prototype score; not measured dBm")</x:f>
      </x:c>
    </x:row>
    <x:row r="50">
      <x:c r="A50" s="30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23" t="str">
        <x:f>IF(A50="","",2*'Assumptions'!$B$4*ASIN(SQRT(SIN(RADIANS(F50-I50)/2)^2+COS(RADIANS(F50))*COS(RADIANS(I50))*SIN(RADIANS(G50-J50)/2)^2)))</x:f>
      </x:c>
      <x:c r="M50" s="23" t="str">
        <x:f>IF(A50="","",SQRT(L50^2+((H50*0.3048-K50)/1000)^2))</x:f>
      </x:c>
      <x:c r="N50" s="23" t="str">
        <x:f>IF(A50="","",32.45+20*LOG56(MAX(M50,0.001))+20*LOG56(E50))</x:f>
      </x:c>
      <x:c r="O50" s="23" t="str">
        <x:f>IF(A50="","",'Assumptions'!$B$8*(SQRT(MAX(H50*0.3048,0))+SQRT(MAX(K50,0))))</x:f>
      </x:c>
      <x:c r="P50" s="22" t="str">
        <x:f>IF(A50="","",IF(L50&lt;=O50,"Yes","No"))</x:f>
      </x:c>
      <x:c r="Q50" s="24" t="str">
        <x:f>IF(A50="","",100*('Assumptions'!$B$6-N50)/('Assumptions'!$B$6-'Assumptions'!$B$5))</x:f>
      </x:c>
      <x:c r="R50" s="24" t="str">
        <x:f>IF(A50="","",MAX(0,MIN(100,Q50-IF(P50="No",'Assumptions'!$B$7,0))))</x:f>
      </x:c>
      <x:c r="S50" s="15" t="str">
        <x:f>IF(A50="","",IF(R50&gt;=80,"Strong",IF(R50&gt;=50,"Moderate","Weak")))</x:f>
      </x:c>
      <x:c r="T50" s="29" t="str">
        <x:f>IF(A50="","","Relative prototype score; not measured dBm")</x:f>
      </x:c>
    </x:row>
    <x:row r="51">
      <x:c r="A51" s="30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23" t="str">
        <x:f>IF(A51="","",2*'Assumptions'!$B$4*ASIN(SQRT(SIN(RADIANS(F51-I51)/2)^2+COS(RADIANS(F51))*COS(RADIANS(I51))*SIN(RADIANS(G51-J51)/2)^2)))</x:f>
      </x:c>
      <x:c r="M51" s="23" t="str">
        <x:f>IF(A51="","",SQRT(L51^2+((H51*0.3048-K51)/1000)^2))</x:f>
      </x:c>
      <x:c r="N51" s="23" t="str">
        <x:f>IF(A51="","",32.45+20*LOG57(MAX(M51,0.001))+20*LOG57(E51))</x:f>
      </x:c>
      <x:c r="O51" s="23" t="str">
        <x:f>IF(A51="","",'Assumptions'!$B$8*(SQRT(MAX(H51*0.3048,0))+SQRT(MAX(K51,0))))</x:f>
      </x:c>
      <x:c r="P51" s="22" t="str">
        <x:f>IF(A51="","",IF(L51&lt;=O51,"Yes","No"))</x:f>
      </x:c>
      <x:c r="Q51" s="24" t="str">
        <x:f>IF(A51="","",100*('Assumptions'!$B$6-N51)/('Assumptions'!$B$6-'Assumptions'!$B$5))</x:f>
      </x:c>
      <x:c r="R51" s="24" t="str">
        <x:f>IF(A51="","",MAX(0,MIN(100,Q51-IF(P51="No",'Assumptions'!$B$7,0))))</x:f>
      </x:c>
      <x:c r="S51" s="15" t="str">
        <x:f>IF(A51="","",IF(R51&gt;=80,"Strong",IF(R51&gt;=50,"Moderate","Weak")))</x:f>
      </x:c>
      <x:c r="T51" s="29" t="str">
        <x:f>IF(A51="","","Relative prototype score; not measured dBm")</x:f>
      </x:c>
    </x:row>
    <x:row r="52">
      <x:c r="A52" s="30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23" t="str">
        <x:f>IF(A52="","",2*'Assumptions'!$B$4*ASIN(SQRT(SIN(RADIANS(F52-I52)/2)^2+COS(RADIANS(F52))*COS(RADIANS(I52))*SIN(RADIANS(G52-J52)/2)^2)))</x:f>
      </x:c>
      <x:c r="M52" s="23" t="str">
        <x:f>IF(A52="","",SQRT(L52^2+((H52*0.3048-K52)/1000)^2))</x:f>
      </x:c>
      <x:c r="N52" s="23" t="str">
        <x:f>IF(A52="","",32.45+20*LOG58(MAX(M52,0.001))+20*LOG58(E52))</x:f>
      </x:c>
      <x:c r="O52" s="23" t="str">
        <x:f>IF(A52="","",'Assumptions'!$B$8*(SQRT(MAX(H52*0.3048,0))+SQRT(MAX(K52,0))))</x:f>
      </x:c>
      <x:c r="P52" s="22" t="str">
        <x:f>IF(A52="","",IF(L52&lt;=O52,"Yes","No"))</x:f>
      </x:c>
      <x:c r="Q52" s="24" t="str">
        <x:f>IF(A52="","",100*('Assumptions'!$B$6-N52)/('Assumptions'!$B$6-'Assumptions'!$B$5))</x:f>
      </x:c>
      <x:c r="R52" s="24" t="str">
        <x:f>IF(A52="","",MAX(0,MIN(100,Q52-IF(P52="No",'Assumptions'!$B$7,0))))</x:f>
      </x:c>
      <x:c r="S52" s="15" t="str">
        <x:f>IF(A52="","",IF(R52&gt;=80,"Strong",IF(R52&gt;=50,"Moderate","Weak")))</x:f>
      </x:c>
      <x:c r="T52" s="29" t="str">
        <x:f>IF(A52="","","Relative prototype score; not measured dBm")</x:f>
      </x:c>
    </x:row>
    <x:row r="53">
      <x:c r="A53" s="30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23" t="str">
        <x:f>IF(A53="","",2*'Assumptions'!$B$4*ASIN(SQRT(SIN(RADIANS(F53-I53)/2)^2+COS(RADIANS(F53))*COS(RADIANS(I53))*SIN(RADIANS(G53-J53)/2)^2)))</x:f>
      </x:c>
      <x:c r="M53" s="23" t="str">
        <x:f>IF(A53="","",SQRT(L53^2+((H53*0.3048-K53)/1000)^2))</x:f>
      </x:c>
      <x:c r="N53" s="23" t="str">
        <x:f>IF(A53="","",32.45+20*LOG59(MAX(M53,0.001))+20*LOG59(E53))</x:f>
      </x:c>
      <x:c r="O53" s="23" t="str">
        <x:f>IF(A53="","",'Assumptions'!$B$8*(SQRT(MAX(H53*0.3048,0))+SQRT(MAX(K53,0))))</x:f>
      </x:c>
      <x:c r="P53" s="22" t="str">
        <x:f>IF(A53="","",IF(L53&lt;=O53,"Yes","No"))</x:f>
      </x:c>
      <x:c r="Q53" s="24" t="str">
        <x:f>IF(A53="","",100*('Assumptions'!$B$6-N53)/('Assumptions'!$B$6-'Assumptions'!$B$5))</x:f>
      </x:c>
      <x:c r="R53" s="24" t="str">
        <x:f>IF(A53="","",MAX(0,MIN(100,Q53-IF(P53="No",'Assumptions'!$B$7,0))))</x:f>
      </x:c>
      <x:c r="S53" s="15" t="str">
        <x:f>IF(A53="","",IF(R53&gt;=80,"Strong",IF(R53&gt;=50,"Moderate","Weak")))</x:f>
      </x:c>
      <x:c r="T53" s="29" t="str">
        <x:f>IF(A53="","","Relative prototype score; not measured dBm")</x:f>
      </x:c>
    </x:row>
    <x:row r="54">
      <x:c r="A54" s="30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23" t="str">
        <x:f>IF(A54="","",2*'Assumptions'!$B$4*ASIN(SQRT(SIN(RADIANS(F54-I54)/2)^2+COS(RADIANS(F54))*COS(RADIANS(I54))*SIN(RADIANS(G54-J54)/2)^2)))</x:f>
      </x:c>
      <x:c r="M54" s="23" t="str">
        <x:f>IF(A54="","",SQRT(L54^2+((H54*0.3048-K54)/1000)^2))</x:f>
      </x:c>
      <x:c r="N54" s="23" t="str">
        <x:f>IF(A54="","",32.45+20*LOG60(MAX(M54,0.001))+20*LOG60(E54))</x:f>
      </x:c>
      <x:c r="O54" s="23" t="str">
        <x:f>IF(A54="","",'Assumptions'!$B$8*(SQRT(MAX(H54*0.3048,0))+SQRT(MAX(K54,0))))</x:f>
      </x:c>
      <x:c r="P54" s="22" t="str">
        <x:f>IF(A54="","",IF(L54&lt;=O54,"Yes","No"))</x:f>
      </x:c>
      <x:c r="Q54" s="24" t="str">
        <x:f>IF(A54="","",100*('Assumptions'!$B$6-N54)/('Assumptions'!$B$6-'Assumptions'!$B$5))</x:f>
      </x:c>
      <x:c r="R54" s="24" t="str">
        <x:f>IF(A54="","",MAX(0,MIN(100,Q54-IF(P54="No",'Assumptions'!$B$7,0))))</x:f>
      </x:c>
      <x:c r="S54" s="15" t="str">
        <x:f>IF(A54="","",IF(R54&gt;=80,"Strong",IF(R54&gt;=50,"Moderate","Weak")))</x:f>
      </x:c>
      <x:c r="T54" s="29" t="str">
        <x:f>IF(A54="","","Relative prototype score; not measured dBm")</x:f>
      </x:c>
    </x:row>
    <x:row r="55">
      <x:c r="A55" s="30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  <x:c r="L55" s="23" t="str">
        <x:f>IF(A55="","",2*'Assumptions'!$B$4*ASIN(SQRT(SIN(RADIANS(F55-I55)/2)^2+COS(RADIANS(F55))*COS(RADIANS(I55))*SIN(RADIANS(G55-J55)/2)^2)))</x:f>
      </x:c>
      <x:c r="M55" s="23" t="str">
        <x:f>IF(A55="","",SQRT(L55^2+((H55*0.3048-K55)/1000)^2))</x:f>
      </x:c>
      <x:c r="N55" s="23" t="str">
        <x:f>IF(A55="","",32.45+20*LOG61(MAX(M55,0.001))+20*LOG61(E55))</x:f>
      </x:c>
      <x:c r="O55" s="23" t="str">
        <x:f>IF(A55="","",'Assumptions'!$B$8*(SQRT(MAX(H55*0.3048,0))+SQRT(MAX(K55,0))))</x:f>
      </x:c>
      <x:c r="P55" s="22" t="str">
        <x:f>IF(A55="","",IF(L55&lt;=O55,"Yes","No"))</x:f>
      </x:c>
      <x:c r="Q55" s="24" t="str">
        <x:f>IF(A55="","",100*('Assumptions'!$B$6-N55)/('Assumptions'!$B$6-'Assumptions'!$B$5))</x:f>
      </x:c>
      <x:c r="R55" s="24" t="str">
        <x:f>IF(A55="","",MAX(0,MIN(100,Q55-IF(P55="No",'Assumptions'!$B$7,0))))</x:f>
      </x:c>
      <x:c r="S55" s="15" t="str">
        <x:f>IF(A55="","",IF(R55&gt;=80,"Strong",IF(R55&gt;=50,"Moderate","Weak")))</x:f>
      </x:c>
      <x:c r="T55" s="29" t="str">
        <x:f>IF(A55="","","Relative prototype score; not measured dBm")</x:f>
      </x:c>
    </x:row>
    <x:row r="56">
      <x:c r="A56" s="30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  <x:c r="L56" s="23" t="str">
        <x:f>IF(A56="","",2*'Assumptions'!$B$4*ASIN(SQRT(SIN(RADIANS(F56-I56)/2)^2+COS(RADIANS(F56))*COS(RADIANS(I56))*SIN(RADIANS(G56-J56)/2)^2)))</x:f>
      </x:c>
      <x:c r="M56" s="23" t="str">
        <x:f>IF(A56="","",SQRT(L56^2+((H56*0.3048-K56)/1000)^2))</x:f>
      </x:c>
      <x:c r="N56" s="23" t="str">
        <x:f>IF(A56="","",32.45+20*LOG62(MAX(M56,0.001))+20*LOG62(E56))</x:f>
      </x:c>
      <x:c r="O56" s="23" t="str">
        <x:f>IF(A56="","",'Assumptions'!$B$8*(SQRT(MAX(H56*0.3048,0))+SQRT(MAX(K56,0))))</x:f>
      </x:c>
      <x:c r="P56" s="22" t="str">
        <x:f>IF(A56="","",IF(L56&lt;=O56,"Yes","No"))</x:f>
      </x:c>
      <x:c r="Q56" s="24" t="str">
        <x:f>IF(A56="","",100*('Assumptions'!$B$6-N56)/('Assumptions'!$B$6-'Assumptions'!$B$5))</x:f>
      </x:c>
      <x:c r="R56" s="24" t="str">
        <x:f>IF(A56="","",MAX(0,MIN(100,Q56-IF(P56="No",'Assumptions'!$B$7,0))))</x:f>
      </x:c>
      <x:c r="S56" s="15" t="str">
        <x:f>IF(A56="","",IF(R56&gt;=80,"Strong",IF(R56&gt;=50,"Moderate","Weak")))</x:f>
      </x:c>
      <x:c r="T56" s="29" t="str">
        <x:f>IF(A56="","","Relative prototype score; not measured dBm")</x:f>
      </x:c>
    </x:row>
    <x:row r="57">
      <x:c r="A57" s="30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  <x:c r="L57" s="23" t="str">
        <x:f>IF(A57="","",2*'Assumptions'!$B$4*ASIN(SQRT(SIN(RADIANS(F57-I57)/2)^2+COS(RADIANS(F57))*COS(RADIANS(I57))*SIN(RADIANS(G57-J57)/2)^2)))</x:f>
      </x:c>
      <x:c r="M57" s="23" t="str">
        <x:f>IF(A57="","",SQRT(L57^2+((H57*0.3048-K57)/1000)^2))</x:f>
      </x:c>
      <x:c r="N57" s="23" t="str">
        <x:f>IF(A57="","",32.45+20*LOG63(MAX(M57,0.001))+20*LOG63(E57))</x:f>
      </x:c>
      <x:c r="O57" s="23" t="str">
        <x:f>IF(A57="","",'Assumptions'!$B$8*(SQRT(MAX(H57*0.3048,0))+SQRT(MAX(K57,0))))</x:f>
      </x:c>
      <x:c r="P57" s="22" t="str">
        <x:f>IF(A57="","",IF(L57&lt;=O57,"Yes","No"))</x:f>
      </x:c>
      <x:c r="Q57" s="24" t="str">
        <x:f>IF(A57="","",100*('Assumptions'!$B$6-N57)/('Assumptions'!$B$6-'Assumptions'!$B$5))</x:f>
      </x:c>
      <x:c r="R57" s="24" t="str">
        <x:f>IF(A57="","",MAX(0,MIN(100,Q57-IF(P57="No",'Assumptions'!$B$7,0))))</x:f>
      </x:c>
      <x:c r="S57" s="15" t="str">
        <x:f>IF(A57="","",IF(R57&gt;=80,"Strong",IF(R57&gt;=50,"Moderate","Weak")))</x:f>
      </x:c>
      <x:c r="T57" s="29" t="str">
        <x:f>IF(A57="","","Relative prototype score; not measured dBm")</x:f>
      </x:c>
    </x:row>
    <x:row r="58">
      <x:c r="A58" s="30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23" t="str">
        <x:f>IF(A58="","",2*'Assumptions'!$B$4*ASIN(SQRT(SIN(RADIANS(F58-I58)/2)^2+COS(RADIANS(F58))*COS(RADIANS(I58))*SIN(RADIANS(G58-J58)/2)^2)))</x:f>
      </x:c>
      <x:c r="M58" s="23" t="str">
        <x:f>IF(A58="","",SQRT(L58^2+((H58*0.3048-K58)/1000)^2))</x:f>
      </x:c>
      <x:c r="N58" s="23" t="str">
        <x:f>IF(A58="","",32.45+20*LOG64(MAX(M58,0.001))+20*LOG64(E58))</x:f>
      </x:c>
      <x:c r="O58" s="23" t="str">
        <x:f>IF(A58="","",'Assumptions'!$B$8*(SQRT(MAX(H58*0.3048,0))+SQRT(MAX(K58,0))))</x:f>
      </x:c>
      <x:c r="P58" s="22" t="str">
        <x:f>IF(A58="","",IF(L58&lt;=O58,"Yes","No"))</x:f>
      </x:c>
      <x:c r="Q58" s="24" t="str">
        <x:f>IF(A58="","",100*('Assumptions'!$B$6-N58)/('Assumptions'!$B$6-'Assumptions'!$B$5))</x:f>
      </x:c>
      <x:c r="R58" s="24" t="str">
        <x:f>IF(A58="","",MAX(0,MIN(100,Q58-IF(P58="No",'Assumptions'!$B$7,0))))</x:f>
      </x:c>
      <x:c r="S58" s="15" t="str">
        <x:f>IF(A58="","",IF(R58&gt;=80,"Strong",IF(R58&gt;=50,"Moderate","Weak")))</x:f>
      </x:c>
      <x:c r="T58" s="29" t="str">
        <x:f>IF(A58="","","Relative prototype score; not measured dBm")</x:f>
      </x:c>
    </x:row>
    <x:row r="59">
      <x:c r="A59" s="30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23" t="str">
        <x:f>IF(A59="","",2*'Assumptions'!$B$4*ASIN(SQRT(SIN(RADIANS(F59-I59)/2)^2+COS(RADIANS(F59))*COS(RADIANS(I59))*SIN(RADIANS(G59-J59)/2)^2)))</x:f>
      </x:c>
      <x:c r="M59" s="23" t="str">
        <x:f>IF(A59="","",SQRT(L59^2+((H59*0.3048-K59)/1000)^2))</x:f>
      </x:c>
      <x:c r="N59" s="23" t="str">
        <x:f>IF(A59="","",32.45+20*LOG65(MAX(M59,0.001))+20*LOG65(E59))</x:f>
      </x:c>
      <x:c r="O59" s="23" t="str">
        <x:f>IF(A59="","",'Assumptions'!$B$8*(SQRT(MAX(H59*0.3048,0))+SQRT(MAX(K59,0))))</x:f>
      </x:c>
      <x:c r="P59" s="22" t="str">
        <x:f>IF(A59="","",IF(L59&lt;=O59,"Yes","No"))</x:f>
      </x:c>
      <x:c r="Q59" s="24" t="str">
        <x:f>IF(A59="","",100*('Assumptions'!$B$6-N59)/('Assumptions'!$B$6-'Assumptions'!$B$5))</x:f>
      </x:c>
      <x:c r="R59" s="24" t="str">
        <x:f>IF(A59="","",MAX(0,MIN(100,Q59-IF(P59="No",'Assumptions'!$B$7,0))))</x:f>
      </x:c>
      <x:c r="S59" s="15" t="str">
        <x:f>IF(A59="","",IF(R59&gt;=80,"Strong",IF(R59&gt;=50,"Moderate","Weak")))</x:f>
      </x:c>
      <x:c r="T59" s="29" t="str">
        <x:f>IF(A59="","","Relative prototype score; not measured dBm")</x:f>
      </x:c>
    </x:row>
    <x:row r="60">
      <x:c r="A60" s="30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23" t="str">
        <x:f>IF(A60="","",2*'Assumptions'!$B$4*ASIN(SQRT(SIN(RADIANS(F60-I60)/2)^2+COS(RADIANS(F60))*COS(RADIANS(I60))*SIN(RADIANS(G60-J60)/2)^2)))</x:f>
      </x:c>
      <x:c r="M60" s="23" t="str">
        <x:f>IF(A60="","",SQRT(L60^2+((H60*0.3048-K60)/1000)^2))</x:f>
      </x:c>
      <x:c r="N60" s="23" t="str">
        <x:f>IF(A60="","",32.45+20*LOG66(MAX(M60,0.001))+20*LOG66(E60))</x:f>
      </x:c>
      <x:c r="O60" s="23" t="str">
        <x:f>IF(A60="","",'Assumptions'!$B$8*(SQRT(MAX(H60*0.3048,0))+SQRT(MAX(K60,0))))</x:f>
      </x:c>
      <x:c r="P60" s="22" t="str">
        <x:f>IF(A60="","",IF(L60&lt;=O60,"Yes","No"))</x:f>
      </x:c>
      <x:c r="Q60" s="24" t="str">
        <x:f>IF(A60="","",100*('Assumptions'!$B$6-N60)/('Assumptions'!$B$6-'Assumptions'!$B$5))</x:f>
      </x:c>
      <x:c r="R60" s="24" t="str">
        <x:f>IF(A60="","",MAX(0,MIN(100,Q60-IF(P60="No",'Assumptions'!$B$7,0))))</x:f>
      </x:c>
      <x:c r="S60" s="15" t="str">
        <x:f>IF(A60="","",IF(R60&gt;=80,"Strong",IF(R60&gt;=50,"Moderate","Weak")))</x:f>
      </x:c>
      <x:c r="T60" s="29" t="str">
        <x:f>IF(A60="","","Relative prototype score; not measured dBm")</x:f>
      </x:c>
    </x:row>
    <x:row r="61">
      <x:c r="A61" s="30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23" t="str">
        <x:f>IF(A61="","",2*'Assumptions'!$B$4*ASIN(SQRT(SIN(RADIANS(F61-I61)/2)^2+COS(RADIANS(F61))*COS(RADIANS(I61))*SIN(RADIANS(G61-J61)/2)^2)))</x:f>
      </x:c>
      <x:c r="M61" s="23" t="str">
        <x:f>IF(A61="","",SQRT(L61^2+((H61*0.3048-K61)/1000)^2))</x:f>
      </x:c>
      <x:c r="N61" s="23" t="str">
        <x:f>IF(A61="","",32.45+20*LOG67(MAX(M61,0.001))+20*LOG67(E61))</x:f>
      </x:c>
      <x:c r="O61" s="23" t="str">
        <x:f>IF(A61="","",'Assumptions'!$B$8*(SQRT(MAX(H61*0.3048,0))+SQRT(MAX(K61,0))))</x:f>
      </x:c>
      <x:c r="P61" s="22" t="str">
        <x:f>IF(A61="","",IF(L61&lt;=O61,"Yes","No"))</x:f>
      </x:c>
      <x:c r="Q61" s="24" t="str">
        <x:f>IF(A61="","",100*('Assumptions'!$B$6-N61)/('Assumptions'!$B$6-'Assumptions'!$B$5))</x:f>
      </x:c>
      <x:c r="R61" s="24" t="str">
        <x:f>IF(A61="","",MAX(0,MIN(100,Q61-IF(P61="No",'Assumptions'!$B$7,0))))</x:f>
      </x:c>
      <x:c r="S61" s="15" t="str">
        <x:f>IF(A61="","",IF(R61&gt;=80,"Strong",IF(R61&gt;=50,"Moderate","Weak")))</x:f>
      </x:c>
      <x:c r="T61" s="29" t="str">
        <x:f>IF(A61="","","Relative prototype score; not measured dBm")</x:f>
      </x:c>
    </x:row>
    <x:row r="62">
      <x:c r="A62" s="30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23" t="str">
        <x:f>IF(A62="","",2*'Assumptions'!$B$4*ASIN(SQRT(SIN(RADIANS(F62-I62)/2)^2+COS(RADIANS(F62))*COS(RADIANS(I62))*SIN(RADIANS(G62-J62)/2)^2)))</x:f>
      </x:c>
      <x:c r="M62" s="23" t="str">
        <x:f>IF(A62="","",SQRT(L62^2+((H62*0.3048-K62)/1000)^2))</x:f>
      </x:c>
      <x:c r="N62" s="23" t="str">
        <x:f>IF(A62="","",32.45+20*LOG68(MAX(M62,0.001))+20*LOG68(E62))</x:f>
      </x:c>
      <x:c r="O62" s="23" t="str">
        <x:f>IF(A62="","",'Assumptions'!$B$8*(SQRT(MAX(H62*0.3048,0))+SQRT(MAX(K62,0))))</x:f>
      </x:c>
      <x:c r="P62" s="22" t="str">
        <x:f>IF(A62="","",IF(L62&lt;=O62,"Yes","No"))</x:f>
      </x:c>
      <x:c r="Q62" s="24" t="str">
        <x:f>IF(A62="","",100*('Assumptions'!$B$6-N62)/('Assumptions'!$B$6-'Assumptions'!$B$5))</x:f>
      </x:c>
      <x:c r="R62" s="24" t="str">
        <x:f>IF(A62="","",MAX(0,MIN(100,Q62-IF(P62="No",'Assumptions'!$B$7,0))))</x:f>
      </x:c>
      <x:c r="S62" s="15" t="str">
        <x:f>IF(A62="","",IF(R62&gt;=80,"Strong",IF(R62&gt;=50,"Moderate","Weak")))</x:f>
      </x:c>
      <x:c r="T62" s="29" t="str">
        <x:f>IF(A62="","","Relative prototype score; not measured dBm")</x:f>
      </x:c>
    </x:row>
    <x:row r="63">
      <x:c r="A63" s="30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23" t="str">
        <x:f>IF(A63="","",2*'Assumptions'!$B$4*ASIN(SQRT(SIN(RADIANS(F63-I63)/2)^2+COS(RADIANS(F63))*COS(RADIANS(I63))*SIN(RADIANS(G63-J63)/2)^2)))</x:f>
      </x:c>
      <x:c r="M63" s="23" t="str">
        <x:f>IF(A63="","",SQRT(L63^2+((H63*0.3048-K63)/1000)^2))</x:f>
      </x:c>
      <x:c r="N63" s="23" t="str">
        <x:f>IF(A63="","",32.45+20*LOG69(MAX(M63,0.001))+20*LOG69(E63))</x:f>
      </x:c>
      <x:c r="O63" s="23" t="str">
        <x:f>IF(A63="","",'Assumptions'!$B$8*(SQRT(MAX(H63*0.3048,0))+SQRT(MAX(K63,0))))</x:f>
      </x:c>
      <x:c r="P63" s="22" t="str">
        <x:f>IF(A63="","",IF(L63&lt;=O63,"Yes","No"))</x:f>
      </x:c>
      <x:c r="Q63" s="24" t="str">
        <x:f>IF(A63="","",100*('Assumptions'!$B$6-N63)/('Assumptions'!$B$6-'Assumptions'!$B$5))</x:f>
      </x:c>
      <x:c r="R63" s="24" t="str">
        <x:f>IF(A63="","",MAX(0,MIN(100,Q63-IF(P63="No",'Assumptions'!$B$7,0))))</x:f>
      </x:c>
      <x:c r="S63" s="15" t="str">
        <x:f>IF(A63="","",IF(R63&gt;=80,"Strong",IF(R63&gt;=50,"Moderate","Weak")))</x:f>
      </x:c>
      <x:c r="T63" s="29" t="str">
        <x:f>IF(A63="","","Relative prototype score; not measured dBm")</x:f>
      </x:c>
    </x:row>
    <x:row r="64">
      <x:c r="A64" s="30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  <x:c r="L64" s="23" t="str">
        <x:f>IF(A64="","",2*'Assumptions'!$B$4*ASIN(SQRT(SIN(RADIANS(F64-I64)/2)^2+COS(RADIANS(F64))*COS(RADIANS(I64))*SIN(RADIANS(G64-J64)/2)^2)))</x:f>
      </x:c>
      <x:c r="M64" s="23" t="str">
        <x:f>IF(A64="","",SQRT(L64^2+((H64*0.3048-K64)/1000)^2))</x:f>
      </x:c>
      <x:c r="N64" s="23" t="str">
        <x:f>IF(A64="","",32.45+20*LOG70(MAX(M64,0.001))+20*LOG70(E64))</x:f>
      </x:c>
      <x:c r="O64" s="23" t="str">
        <x:f>IF(A64="","",'Assumptions'!$B$8*(SQRT(MAX(H64*0.3048,0))+SQRT(MAX(K64,0))))</x:f>
      </x:c>
      <x:c r="P64" s="22" t="str">
        <x:f>IF(A64="","",IF(L64&lt;=O64,"Yes","No"))</x:f>
      </x:c>
      <x:c r="Q64" s="24" t="str">
        <x:f>IF(A64="","",100*('Assumptions'!$B$6-N64)/('Assumptions'!$B$6-'Assumptions'!$B$5))</x:f>
      </x:c>
      <x:c r="R64" s="24" t="str">
        <x:f>IF(A64="","",MAX(0,MIN(100,Q64-IF(P64="No",'Assumptions'!$B$7,0))))</x:f>
      </x:c>
      <x:c r="S64" s="15" t="str">
        <x:f>IF(A64="","",IF(R64&gt;=80,"Strong",IF(R64&gt;=50,"Moderate","Weak")))</x:f>
      </x:c>
      <x:c r="T64" s="29" t="str">
        <x:f>IF(A64="","","Relative prototype score; not measured dBm")</x:f>
      </x:c>
    </x:row>
    <x:row r="65">
      <x:c r="A65" s="30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  <x:c r="L65" s="23" t="str">
        <x:f>IF(A65="","",2*'Assumptions'!$B$4*ASIN(SQRT(SIN(RADIANS(F65-I65)/2)^2+COS(RADIANS(F65))*COS(RADIANS(I65))*SIN(RADIANS(G65-J65)/2)^2)))</x:f>
      </x:c>
      <x:c r="M65" s="23" t="str">
        <x:f>IF(A65="","",SQRT(L65^2+((H65*0.3048-K65)/1000)^2))</x:f>
      </x:c>
      <x:c r="N65" s="23" t="str">
        <x:f>IF(A65="","",32.45+20*LOG71(MAX(M65,0.001))+20*LOG71(E65))</x:f>
      </x:c>
      <x:c r="O65" s="23" t="str">
        <x:f>IF(A65="","",'Assumptions'!$B$8*(SQRT(MAX(H65*0.3048,0))+SQRT(MAX(K65,0))))</x:f>
      </x:c>
      <x:c r="P65" s="22" t="str">
        <x:f>IF(A65="","",IF(L65&lt;=O65,"Yes","No"))</x:f>
      </x:c>
      <x:c r="Q65" s="24" t="str">
        <x:f>IF(A65="","",100*('Assumptions'!$B$6-N65)/('Assumptions'!$B$6-'Assumptions'!$B$5))</x:f>
      </x:c>
      <x:c r="R65" s="24" t="str">
        <x:f>IF(A65="","",MAX(0,MIN(100,Q65-IF(P65="No",'Assumptions'!$B$7,0))))</x:f>
      </x:c>
      <x:c r="S65" s="15" t="str">
        <x:f>IF(A65="","",IF(R65&gt;=80,"Strong",IF(R65&gt;=50,"Moderate","Weak")))</x:f>
      </x:c>
      <x:c r="T65" s="29" t="str">
        <x:f>IF(A65="","","Relative prototype score; not measured dBm")</x:f>
      </x:c>
    </x:row>
    <x:row r="66">
      <x:c r="A66" s="30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  <x:c r="L66" s="23" t="str">
        <x:f>IF(A66="","",2*'Assumptions'!$B$4*ASIN(SQRT(SIN(RADIANS(F66-I66)/2)^2+COS(RADIANS(F66))*COS(RADIANS(I66))*SIN(RADIANS(G66-J66)/2)^2)))</x:f>
      </x:c>
      <x:c r="M66" s="23" t="str">
        <x:f>IF(A66="","",SQRT(L66^2+((H66*0.3048-K66)/1000)^2))</x:f>
      </x:c>
      <x:c r="N66" s="23" t="str">
        <x:f>IF(A66="","",32.45+20*LOG72(MAX(M66,0.001))+20*LOG72(E66))</x:f>
      </x:c>
      <x:c r="O66" s="23" t="str">
        <x:f>IF(A66="","",'Assumptions'!$B$8*(SQRT(MAX(H66*0.3048,0))+SQRT(MAX(K66,0))))</x:f>
      </x:c>
      <x:c r="P66" s="22" t="str">
        <x:f>IF(A66="","",IF(L66&lt;=O66,"Yes","No"))</x:f>
      </x:c>
      <x:c r="Q66" s="24" t="str">
        <x:f>IF(A66="","",100*('Assumptions'!$B$6-N66)/('Assumptions'!$B$6-'Assumptions'!$B$5))</x:f>
      </x:c>
      <x:c r="R66" s="24" t="str">
        <x:f>IF(A66="","",MAX(0,MIN(100,Q66-IF(P66="No",'Assumptions'!$B$7,0))))</x:f>
      </x:c>
      <x:c r="S66" s="15" t="str">
        <x:f>IF(A66="","",IF(R66&gt;=80,"Strong",IF(R66&gt;=50,"Moderate","Weak")))</x:f>
      </x:c>
      <x:c r="T66" s="29" t="str">
        <x:f>IF(A66="","","Relative prototype score; not measured dBm")</x:f>
      </x:c>
    </x:row>
    <x:row r="67">
      <x:c r="A67" s="30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  <x:c r="L67" s="23" t="str">
        <x:f>IF(A67="","",2*'Assumptions'!$B$4*ASIN(SQRT(SIN(RADIANS(F67-I67)/2)^2+COS(RADIANS(F67))*COS(RADIANS(I67))*SIN(RADIANS(G67-J67)/2)^2)))</x:f>
      </x:c>
      <x:c r="M67" s="23" t="str">
        <x:f>IF(A67="","",SQRT(L67^2+((H67*0.3048-K67)/1000)^2))</x:f>
      </x:c>
      <x:c r="N67" s="23" t="str">
        <x:f>IF(A67="","",32.45+20*LOG73(MAX(M67,0.001))+20*LOG73(E67))</x:f>
      </x:c>
      <x:c r="O67" s="23" t="str">
        <x:f>IF(A67="","",'Assumptions'!$B$8*(SQRT(MAX(H67*0.3048,0))+SQRT(MAX(K67,0))))</x:f>
      </x:c>
      <x:c r="P67" s="22" t="str">
        <x:f>IF(A67="","",IF(L67&lt;=O67,"Yes","No"))</x:f>
      </x:c>
      <x:c r="Q67" s="24" t="str">
        <x:f>IF(A67="","",100*('Assumptions'!$B$6-N67)/('Assumptions'!$B$6-'Assumptions'!$B$5))</x:f>
      </x:c>
      <x:c r="R67" s="24" t="str">
        <x:f>IF(A67="","",MAX(0,MIN(100,Q67-IF(P67="No",'Assumptions'!$B$7,0))))</x:f>
      </x:c>
      <x:c r="S67" s="15" t="str">
        <x:f>IF(A67="","",IF(R67&gt;=80,"Strong",IF(R67&gt;=50,"Moderate","Weak")))</x:f>
      </x:c>
      <x:c r="T67" s="29" t="str">
        <x:f>IF(A67="","","Relative prototype score; not measured dBm")</x:f>
      </x:c>
    </x:row>
    <x:row r="68">
      <x:c r="A68" s="30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23" t="str">
        <x:f>IF(A68="","",2*'Assumptions'!$B$4*ASIN(SQRT(SIN(RADIANS(F68-I68)/2)^2+COS(RADIANS(F68))*COS(RADIANS(I68))*SIN(RADIANS(G68-J68)/2)^2)))</x:f>
      </x:c>
      <x:c r="M68" s="23" t="str">
        <x:f>IF(A68="","",SQRT(L68^2+((H68*0.3048-K68)/1000)^2))</x:f>
      </x:c>
      <x:c r="N68" s="23" t="str">
        <x:f>IF(A68="","",32.45+20*LOG74(MAX(M68,0.001))+20*LOG74(E68))</x:f>
      </x:c>
      <x:c r="O68" s="23" t="str">
        <x:f>IF(A68="","",'Assumptions'!$B$8*(SQRT(MAX(H68*0.3048,0))+SQRT(MAX(K68,0))))</x:f>
      </x:c>
      <x:c r="P68" s="22" t="str">
        <x:f>IF(A68="","",IF(L68&lt;=O68,"Yes","No"))</x:f>
      </x:c>
      <x:c r="Q68" s="24" t="str">
        <x:f>IF(A68="","",100*('Assumptions'!$B$6-N68)/('Assumptions'!$B$6-'Assumptions'!$B$5))</x:f>
      </x:c>
      <x:c r="R68" s="24" t="str">
        <x:f>IF(A68="","",MAX(0,MIN(100,Q68-IF(P68="No",'Assumptions'!$B$7,0))))</x:f>
      </x:c>
      <x:c r="S68" s="15" t="str">
        <x:f>IF(A68="","",IF(R68&gt;=80,"Strong",IF(R68&gt;=50,"Moderate","Weak")))</x:f>
      </x:c>
      <x:c r="T68" s="29" t="str">
        <x:f>IF(A68="","","Relative prototype score; not measured dBm")</x:f>
      </x:c>
    </x:row>
    <x:row r="69">
      <x:c r="A69" s="30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23" t="str">
        <x:f>IF(A69="","",2*'Assumptions'!$B$4*ASIN(SQRT(SIN(RADIANS(F69-I69)/2)^2+COS(RADIANS(F69))*COS(RADIANS(I69))*SIN(RADIANS(G69-J69)/2)^2)))</x:f>
      </x:c>
      <x:c r="M69" s="23" t="str">
        <x:f>IF(A69="","",SQRT(L69^2+((H69*0.3048-K69)/1000)^2))</x:f>
      </x:c>
      <x:c r="N69" s="23" t="str">
        <x:f>IF(A69="","",32.45+20*LOG75(MAX(M69,0.001))+20*LOG75(E69))</x:f>
      </x:c>
      <x:c r="O69" s="23" t="str">
        <x:f>IF(A69="","",'Assumptions'!$B$8*(SQRT(MAX(H69*0.3048,0))+SQRT(MAX(K69,0))))</x:f>
      </x:c>
      <x:c r="P69" s="22" t="str">
        <x:f>IF(A69="","",IF(L69&lt;=O69,"Yes","No"))</x:f>
      </x:c>
      <x:c r="Q69" s="24" t="str">
        <x:f>IF(A69="","",100*('Assumptions'!$B$6-N69)/('Assumptions'!$B$6-'Assumptions'!$B$5))</x:f>
      </x:c>
      <x:c r="R69" s="24" t="str">
        <x:f>IF(A69="","",MAX(0,MIN(100,Q69-IF(P69="No",'Assumptions'!$B$7,0))))</x:f>
      </x:c>
      <x:c r="S69" s="15" t="str">
        <x:f>IF(A69="","",IF(R69&gt;=80,"Strong",IF(R69&gt;=50,"Moderate","Weak")))</x:f>
      </x:c>
      <x:c r="T69" s="29" t="str">
        <x:f>IF(A69="","","Relative prototype score; not measured dBm")</x:f>
      </x:c>
    </x:row>
    <x:row r="70">
      <x:c r="A70" s="30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23" t="str">
        <x:f>IF(A70="","",2*'Assumptions'!$B$4*ASIN(SQRT(SIN(RADIANS(F70-I70)/2)^2+COS(RADIANS(F70))*COS(RADIANS(I70))*SIN(RADIANS(G70-J70)/2)^2)))</x:f>
      </x:c>
      <x:c r="M70" s="23" t="str">
        <x:f>IF(A70="","",SQRT(L70^2+((H70*0.3048-K70)/1000)^2))</x:f>
      </x:c>
      <x:c r="N70" s="23" t="str">
        <x:f>IF(A70="","",32.45+20*LOG76(MAX(M70,0.001))+20*LOG76(E70))</x:f>
      </x:c>
      <x:c r="O70" s="23" t="str">
        <x:f>IF(A70="","",'Assumptions'!$B$8*(SQRT(MAX(H70*0.3048,0))+SQRT(MAX(K70,0))))</x:f>
      </x:c>
      <x:c r="P70" s="22" t="str">
        <x:f>IF(A70="","",IF(L70&lt;=O70,"Yes","No"))</x:f>
      </x:c>
      <x:c r="Q70" s="24" t="str">
        <x:f>IF(A70="","",100*('Assumptions'!$B$6-N70)/('Assumptions'!$B$6-'Assumptions'!$B$5))</x:f>
      </x:c>
      <x:c r="R70" s="24" t="str">
        <x:f>IF(A70="","",MAX(0,MIN(100,Q70-IF(P70="No",'Assumptions'!$B$7,0))))</x:f>
      </x:c>
      <x:c r="S70" s="15" t="str">
        <x:f>IF(A70="","",IF(R70&gt;=80,"Strong",IF(R70&gt;=50,"Moderate","Weak")))</x:f>
      </x:c>
      <x:c r="T70" s="29" t="str">
        <x:f>IF(A70="","","Relative prototype score; not measured dBm")</x:f>
      </x:c>
    </x:row>
    <x:row r="71">
      <x:c r="A71" s="30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23" t="str">
        <x:f>IF(A71="","",2*'Assumptions'!$B$4*ASIN(SQRT(SIN(RADIANS(F71-I71)/2)^2+COS(RADIANS(F71))*COS(RADIANS(I71))*SIN(RADIANS(G71-J71)/2)^2)))</x:f>
      </x:c>
      <x:c r="M71" s="23" t="str">
        <x:f>IF(A71="","",SQRT(L71^2+((H71*0.3048-K71)/1000)^2))</x:f>
      </x:c>
      <x:c r="N71" s="23" t="str">
        <x:f>IF(A71="","",32.45+20*LOG77(MAX(M71,0.001))+20*LOG77(E71))</x:f>
      </x:c>
      <x:c r="O71" s="23" t="str">
        <x:f>IF(A71="","",'Assumptions'!$B$8*(SQRT(MAX(H71*0.3048,0))+SQRT(MAX(K71,0))))</x:f>
      </x:c>
      <x:c r="P71" s="22" t="str">
        <x:f>IF(A71="","",IF(L71&lt;=O71,"Yes","No"))</x:f>
      </x:c>
      <x:c r="Q71" s="24" t="str">
        <x:f>IF(A71="","",100*('Assumptions'!$B$6-N71)/('Assumptions'!$B$6-'Assumptions'!$B$5))</x:f>
      </x:c>
      <x:c r="R71" s="24" t="str">
        <x:f>IF(A71="","",MAX(0,MIN(100,Q71-IF(P71="No",'Assumptions'!$B$7,0))))</x:f>
      </x:c>
      <x:c r="S71" s="15" t="str">
        <x:f>IF(A71="","",IF(R71&gt;=80,"Strong",IF(R71&gt;=50,"Moderate","Weak")))</x:f>
      </x:c>
      <x:c r="T71" s="29" t="str">
        <x:f>IF(A71="","","Relative prototype score; not measured dBm")</x:f>
      </x:c>
    </x:row>
    <x:row r="72">
      <x:c r="A72" s="30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23" t="str">
        <x:f>IF(A72="","",2*'Assumptions'!$B$4*ASIN(SQRT(SIN(RADIANS(F72-I72)/2)^2+COS(RADIANS(F72))*COS(RADIANS(I72))*SIN(RADIANS(G72-J72)/2)^2)))</x:f>
      </x:c>
      <x:c r="M72" s="23" t="str">
        <x:f>IF(A72="","",SQRT(L72^2+((H72*0.3048-K72)/1000)^2))</x:f>
      </x:c>
      <x:c r="N72" s="23" t="str">
        <x:f>IF(A72="","",32.45+20*LOG78(MAX(M72,0.001))+20*LOG78(E72))</x:f>
      </x:c>
      <x:c r="O72" s="23" t="str">
        <x:f>IF(A72="","",'Assumptions'!$B$8*(SQRT(MAX(H72*0.3048,0))+SQRT(MAX(K72,0))))</x:f>
      </x:c>
      <x:c r="P72" s="22" t="str">
        <x:f>IF(A72="","",IF(L72&lt;=O72,"Yes","No"))</x:f>
      </x:c>
      <x:c r="Q72" s="24" t="str">
        <x:f>IF(A72="","",100*('Assumptions'!$B$6-N72)/('Assumptions'!$B$6-'Assumptions'!$B$5))</x:f>
      </x:c>
      <x:c r="R72" s="24" t="str">
        <x:f>IF(A72="","",MAX(0,MIN(100,Q72-IF(P72="No",'Assumptions'!$B$7,0))))</x:f>
      </x:c>
      <x:c r="S72" s="15" t="str">
        <x:f>IF(A72="","",IF(R72&gt;=80,"Strong",IF(R72&gt;=50,"Moderate","Weak")))</x:f>
      </x:c>
      <x:c r="T72" s="29" t="str">
        <x:f>IF(A72="","","Relative prototype score; not measured dBm")</x:f>
      </x:c>
    </x:row>
    <x:row r="73">
      <x:c r="A73" s="30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23" t="str">
        <x:f>IF(A73="","",2*'Assumptions'!$B$4*ASIN(SQRT(SIN(RADIANS(F73-I73)/2)^2+COS(RADIANS(F73))*COS(RADIANS(I73))*SIN(RADIANS(G73-J73)/2)^2)))</x:f>
      </x:c>
      <x:c r="M73" s="23" t="str">
        <x:f>IF(A73="","",SQRT(L73^2+((H73*0.3048-K73)/1000)^2))</x:f>
      </x:c>
      <x:c r="N73" s="23" t="str">
        <x:f>IF(A73="","",32.45+20*LOG79(MAX(M73,0.001))+20*LOG79(E73))</x:f>
      </x:c>
      <x:c r="O73" s="23" t="str">
        <x:f>IF(A73="","",'Assumptions'!$B$8*(SQRT(MAX(H73*0.3048,0))+SQRT(MAX(K73,0))))</x:f>
      </x:c>
      <x:c r="P73" s="22" t="str">
        <x:f>IF(A73="","",IF(L73&lt;=O73,"Yes","No"))</x:f>
      </x:c>
      <x:c r="Q73" s="24" t="str">
        <x:f>IF(A73="","",100*('Assumptions'!$B$6-N73)/('Assumptions'!$B$6-'Assumptions'!$B$5))</x:f>
      </x:c>
      <x:c r="R73" s="24" t="str">
        <x:f>IF(A73="","",MAX(0,MIN(100,Q73-IF(P73="No",'Assumptions'!$B$7,0))))</x:f>
      </x:c>
      <x:c r="S73" s="15" t="str">
        <x:f>IF(A73="","",IF(R73&gt;=80,"Strong",IF(R73&gt;=50,"Moderate","Weak")))</x:f>
      </x:c>
      <x:c r="T73" s="29" t="str">
        <x:f>IF(A73="","","Relative prototype score; not measured dBm")</x:f>
      </x:c>
    </x:row>
    <x:row r="74">
      <x:c r="A74" s="30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23" t="str">
        <x:f>IF(A74="","",2*'Assumptions'!$B$4*ASIN(SQRT(SIN(RADIANS(F74-I74)/2)^2+COS(RADIANS(F74))*COS(RADIANS(I74))*SIN(RADIANS(G74-J74)/2)^2)))</x:f>
      </x:c>
      <x:c r="M74" s="23" t="str">
        <x:f>IF(A74="","",SQRT(L74^2+((H74*0.3048-K74)/1000)^2))</x:f>
      </x:c>
      <x:c r="N74" s="23" t="str">
        <x:f>IF(A74="","",32.45+20*LOG80(MAX(M74,0.001))+20*LOG80(E74))</x:f>
      </x:c>
      <x:c r="O74" s="23" t="str">
        <x:f>IF(A74="","",'Assumptions'!$B$8*(SQRT(MAX(H74*0.3048,0))+SQRT(MAX(K74,0))))</x:f>
      </x:c>
      <x:c r="P74" s="22" t="str">
        <x:f>IF(A74="","",IF(L74&lt;=O74,"Yes","No"))</x:f>
      </x:c>
      <x:c r="Q74" s="24" t="str">
        <x:f>IF(A74="","",100*('Assumptions'!$B$6-N74)/('Assumptions'!$B$6-'Assumptions'!$B$5))</x:f>
      </x:c>
      <x:c r="R74" s="24" t="str">
        <x:f>IF(A74="","",MAX(0,MIN(100,Q74-IF(P74="No",'Assumptions'!$B$7,0))))</x:f>
      </x:c>
      <x:c r="S74" s="15" t="str">
        <x:f>IF(A74="","",IF(R74&gt;=80,"Strong",IF(R74&gt;=50,"Moderate","Weak")))</x:f>
      </x:c>
      <x:c r="T74" s="29" t="str">
        <x:f>IF(A74="","","Relative prototype score; not measured dBm")</x:f>
      </x:c>
    </x:row>
    <x:row r="75">
      <x:c r="A75" s="30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23" t="str">
        <x:f>IF(A75="","",2*'Assumptions'!$B$4*ASIN(SQRT(SIN(RADIANS(F75-I75)/2)^2+COS(RADIANS(F75))*COS(RADIANS(I75))*SIN(RADIANS(G75-J75)/2)^2)))</x:f>
      </x:c>
      <x:c r="M75" s="23" t="str">
        <x:f>IF(A75="","",SQRT(L75^2+((H75*0.3048-K75)/1000)^2))</x:f>
      </x:c>
      <x:c r="N75" s="23" t="str">
        <x:f>IF(A75="","",32.45+20*LOG81(MAX(M75,0.001))+20*LOG81(E75))</x:f>
      </x:c>
      <x:c r="O75" s="23" t="str">
        <x:f>IF(A75="","",'Assumptions'!$B$8*(SQRT(MAX(H75*0.3048,0))+SQRT(MAX(K75,0))))</x:f>
      </x:c>
      <x:c r="P75" s="22" t="str">
        <x:f>IF(A75="","",IF(L75&lt;=O75,"Yes","No"))</x:f>
      </x:c>
      <x:c r="Q75" s="24" t="str">
        <x:f>IF(A75="","",100*('Assumptions'!$B$6-N75)/('Assumptions'!$B$6-'Assumptions'!$B$5))</x:f>
      </x:c>
      <x:c r="R75" s="24" t="str">
        <x:f>IF(A75="","",MAX(0,MIN(100,Q75-IF(P75="No",'Assumptions'!$B$7,0))))</x:f>
      </x:c>
      <x:c r="S75" s="15" t="str">
        <x:f>IF(A75="","",IF(R75&gt;=80,"Strong",IF(R75&gt;=50,"Moderate","Weak")))</x:f>
      </x:c>
      <x:c r="T75" s="29" t="str">
        <x:f>IF(A75="","","Relative prototype score; not measured dBm")</x:f>
      </x:c>
    </x:row>
    <x:row r="76">
      <x:c r="A76" s="30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23" t="str">
        <x:f>IF(A76="","",2*'Assumptions'!$B$4*ASIN(SQRT(SIN(RADIANS(F76-I76)/2)^2+COS(RADIANS(F76))*COS(RADIANS(I76))*SIN(RADIANS(G76-J76)/2)^2)))</x:f>
      </x:c>
      <x:c r="M76" s="23" t="str">
        <x:f>IF(A76="","",SQRT(L76^2+((H76*0.3048-K76)/1000)^2))</x:f>
      </x:c>
      <x:c r="N76" s="23" t="str">
        <x:f>IF(A76="","",32.45+20*LOG82(MAX(M76,0.001))+20*LOG82(E76))</x:f>
      </x:c>
      <x:c r="O76" s="23" t="str">
        <x:f>IF(A76="","",'Assumptions'!$B$8*(SQRT(MAX(H76*0.3048,0))+SQRT(MAX(K76,0))))</x:f>
      </x:c>
      <x:c r="P76" s="22" t="str">
        <x:f>IF(A76="","",IF(L76&lt;=O76,"Yes","No"))</x:f>
      </x:c>
      <x:c r="Q76" s="24" t="str">
        <x:f>IF(A76="","",100*('Assumptions'!$B$6-N76)/('Assumptions'!$B$6-'Assumptions'!$B$5))</x:f>
      </x:c>
      <x:c r="R76" s="24" t="str">
        <x:f>IF(A76="","",MAX(0,MIN(100,Q76-IF(P76="No",'Assumptions'!$B$7,0))))</x:f>
      </x:c>
      <x:c r="S76" s="15" t="str">
        <x:f>IF(A76="","",IF(R76&gt;=80,"Strong",IF(R76&gt;=50,"Moderate","Weak")))</x:f>
      </x:c>
      <x:c r="T76" s="29" t="str">
        <x:f>IF(A76="","","Relative prototype score; not measured dBm")</x:f>
      </x:c>
    </x:row>
    <x:row r="77">
      <x:c r="A77" s="30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23" t="str">
        <x:f>IF(A77="","",2*'Assumptions'!$B$4*ASIN(SQRT(SIN(RADIANS(F77-I77)/2)^2+COS(RADIANS(F77))*COS(RADIANS(I77))*SIN(RADIANS(G77-J77)/2)^2)))</x:f>
      </x:c>
      <x:c r="M77" s="23" t="str">
        <x:f>IF(A77="","",SQRT(L77^2+((H77*0.3048-K77)/1000)^2))</x:f>
      </x:c>
      <x:c r="N77" s="23" t="str">
        <x:f>IF(A77="","",32.45+20*LOG83(MAX(M77,0.001))+20*LOG83(E77))</x:f>
      </x:c>
      <x:c r="O77" s="23" t="str">
        <x:f>IF(A77="","",'Assumptions'!$B$8*(SQRT(MAX(H77*0.3048,0))+SQRT(MAX(K77,0))))</x:f>
      </x:c>
      <x:c r="P77" s="22" t="str">
        <x:f>IF(A77="","",IF(L77&lt;=O77,"Yes","No"))</x:f>
      </x:c>
      <x:c r="Q77" s="24" t="str">
        <x:f>IF(A77="","",100*('Assumptions'!$B$6-N77)/('Assumptions'!$B$6-'Assumptions'!$B$5))</x:f>
      </x:c>
      <x:c r="R77" s="24" t="str">
        <x:f>IF(A77="","",MAX(0,MIN(100,Q77-IF(P77="No",'Assumptions'!$B$7,0))))</x:f>
      </x:c>
      <x:c r="S77" s="15" t="str">
        <x:f>IF(A77="","",IF(R77&gt;=80,"Strong",IF(R77&gt;=50,"Moderate","Weak")))</x:f>
      </x:c>
      <x:c r="T77" s="29" t="str">
        <x:f>IF(A77="","","Relative prototype score; not measured dBm")</x:f>
      </x:c>
    </x:row>
    <x:row r="78">
      <x:c r="A78" s="30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23" t="str">
        <x:f>IF(A78="","",2*'Assumptions'!$B$4*ASIN(SQRT(SIN(RADIANS(F78-I78)/2)^2+COS(RADIANS(F78))*COS(RADIANS(I78))*SIN(RADIANS(G78-J78)/2)^2)))</x:f>
      </x:c>
      <x:c r="M78" s="23" t="str">
        <x:f>IF(A78="","",SQRT(L78^2+((H78*0.3048-K78)/1000)^2))</x:f>
      </x:c>
      <x:c r="N78" s="23" t="str">
        <x:f>IF(A78="","",32.45+20*LOG84(MAX(M78,0.001))+20*LOG84(E78))</x:f>
      </x:c>
      <x:c r="O78" s="23" t="str">
        <x:f>IF(A78="","",'Assumptions'!$B$8*(SQRT(MAX(H78*0.3048,0))+SQRT(MAX(K78,0))))</x:f>
      </x:c>
      <x:c r="P78" s="22" t="str">
        <x:f>IF(A78="","",IF(L78&lt;=O78,"Yes","No"))</x:f>
      </x:c>
      <x:c r="Q78" s="24" t="str">
        <x:f>IF(A78="","",100*('Assumptions'!$B$6-N78)/('Assumptions'!$B$6-'Assumptions'!$B$5))</x:f>
      </x:c>
      <x:c r="R78" s="24" t="str">
        <x:f>IF(A78="","",MAX(0,MIN(100,Q78-IF(P78="No",'Assumptions'!$B$7,0))))</x:f>
      </x:c>
      <x:c r="S78" s="15" t="str">
        <x:f>IF(A78="","",IF(R78&gt;=80,"Strong",IF(R78&gt;=50,"Moderate","Weak")))</x:f>
      </x:c>
      <x:c r="T78" s="29" t="str">
        <x:f>IF(A78="","","Relative prototype score; not measured dBm")</x:f>
      </x:c>
    </x:row>
    <x:row r="79">
      <x:c r="A79" s="30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23" t="str">
        <x:f>IF(A79="","",2*'Assumptions'!$B$4*ASIN(SQRT(SIN(RADIANS(F79-I79)/2)^2+COS(RADIANS(F79))*COS(RADIANS(I79))*SIN(RADIANS(G79-J79)/2)^2)))</x:f>
      </x:c>
      <x:c r="M79" s="23" t="str">
        <x:f>IF(A79="","",SQRT(L79^2+((H79*0.3048-K79)/1000)^2))</x:f>
      </x:c>
      <x:c r="N79" s="23" t="str">
        <x:f>IF(A79="","",32.45+20*LOG85(MAX(M79,0.001))+20*LOG85(E79))</x:f>
      </x:c>
      <x:c r="O79" s="23" t="str">
        <x:f>IF(A79="","",'Assumptions'!$B$8*(SQRT(MAX(H79*0.3048,0))+SQRT(MAX(K79,0))))</x:f>
      </x:c>
      <x:c r="P79" s="22" t="str">
        <x:f>IF(A79="","",IF(L79&lt;=O79,"Yes","No"))</x:f>
      </x:c>
      <x:c r="Q79" s="24" t="str">
        <x:f>IF(A79="","",100*('Assumptions'!$B$6-N79)/('Assumptions'!$B$6-'Assumptions'!$B$5))</x:f>
      </x:c>
      <x:c r="R79" s="24" t="str">
        <x:f>IF(A79="","",MAX(0,MIN(100,Q79-IF(P79="No",'Assumptions'!$B$7,0))))</x:f>
      </x:c>
      <x:c r="S79" s="15" t="str">
        <x:f>IF(A79="","",IF(R79&gt;=80,"Strong",IF(R79&gt;=50,"Moderate","Weak")))</x:f>
      </x:c>
      <x:c r="T79" s="29" t="str">
        <x:f>IF(A79="","","Relative prototype score; not measured dBm")</x:f>
      </x:c>
    </x:row>
    <x:row r="80">
      <x:c r="A80" s="30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23" t="str">
        <x:f>IF(A80="","",2*'Assumptions'!$B$4*ASIN(SQRT(SIN(RADIANS(F80-I80)/2)^2+COS(RADIANS(F80))*COS(RADIANS(I80))*SIN(RADIANS(G80-J80)/2)^2)))</x:f>
      </x:c>
      <x:c r="M80" s="23" t="str">
        <x:f>IF(A80="","",SQRT(L80^2+((H80*0.3048-K80)/1000)^2))</x:f>
      </x:c>
      <x:c r="N80" s="23" t="str">
        <x:f>IF(A80="","",32.45+20*LOG86(MAX(M80,0.001))+20*LOG86(E80))</x:f>
      </x:c>
      <x:c r="O80" s="23" t="str">
        <x:f>IF(A80="","",'Assumptions'!$B$8*(SQRT(MAX(H80*0.3048,0))+SQRT(MAX(K80,0))))</x:f>
      </x:c>
      <x:c r="P80" s="22" t="str">
        <x:f>IF(A80="","",IF(L80&lt;=O80,"Yes","No"))</x:f>
      </x:c>
      <x:c r="Q80" s="24" t="str">
        <x:f>IF(A80="","",100*('Assumptions'!$B$6-N80)/('Assumptions'!$B$6-'Assumptions'!$B$5))</x:f>
      </x:c>
      <x:c r="R80" s="24" t="str">
        <x:f>IF(A80="","",MAX(0,MIN(100,Q80-IF(P80="No",'Assumptions'!$B$7,0))))</x:f>
      </x:c>
      <x:c r="S80" s="15" t="str">
        <x:f>IF(A80="","",IF(R80&gt;=80,"Strong",IF(R80&gt;=50,"Moderate","Weak")))</x:f>
      </x:c>
      <x:c r="T80" s="29" t="str">
        <x:f>IF(A80="","","Relative prototype score; not measured dBm")</x:f>
      </x:c>
    </x:row>
    <x:row r="81">
      <x:c r="A81" s="30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23" t="str">
        <x:f>IF(A81="","",2*'Assumptions'!$B$4*ASIN(SQRT(SIN(RADIANS(F81-I81)/2)^2+COS(RADIANS(F81))*COS(RADIANS(I81))*SIN(RADIANS(G81-J81)/2)^2)))</x:f>
      </x:c>
      <x:c r="M81" s="23" t="str">
        <x:f>IF(A81="","",SQRT(L81^2+((H81*0.3048-K81)/1000)^2))</x:f>
      </x:c>
      <x:c r="N81" s="23" t="str">
        <x:f>IF(A81="","",32.45+20*LOG87(MAX(M81,0.001))+20*LOG87(E81))</x:f>
      </x:c>
      <x:c r="O81" s="23" t="str">
        <x:f>IF(A81="","",'Assumptions'!$B$8*(SQRT(MAX(H81*0.3048,0))+SQRT(MAX(K81,0))))</x:f>
      </x:c>
      <x:c r="P81" s="22" t="str">
        <x:f>IF(A81="","",IF(L81&lt;=O81,"Yes","No"))</x:f>
      </x:c>
      <x:c r="Q81" s="24" t="str">
        <x:f>IF(A81="","",100*('Assumptions'!$B$6-N81)/('Assumptions'!$B$6-'Assumptions'!$B$5))</x:f>
      </x:c>
      <x:c r="R81" s="24" t="str">
        <x:f>IF(A81="","",MAX(0,MIN(100,Q81-IF(P81="No",'Assumptions'!$B$7,0))))</x:f>
      </x:c>
      <x:c r="S81" s="15" t="str">
        <x:f>IF(A81="","",IF(R81&gt;=80,"Strong",IF(R81&gt;=50,"Moderate","Weak")))</x:f>
      </x:c>
      <x:c r="T81" s="29" t="str">
        <x:f>IF(A81="","","Relative prototype score; not measured dBm")</x:f>
      </x:c>
    </x:row>
    <x:row r="82">
      <x:c r="A82" s="30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23" t="str">
        <x:f>IF(A82="","",2*'Assumptions'!$B$4*ASIN(SQRT(SIN(RADIANS(F82-I82)/2)^2+COS(RADIANS(F82))*COS(RADIANS(I82))*SIN(RADIANS(G82-J82)/2)^2)))</x:f>
      </x:c>
      <x:c r="M82" s="23" t="str">
        <x:f>IF(A82="","",SQRT(L82^2+((H82*0.3048-K82)/1000)^2))</x:f>
      </x:c>
      <x:c r="N82" s="23" t="str">
        <x:f>IF(A82="","",32.45+20*LOG88(MAX(M82,0.001))+20*LOG88(E82))</x:f>
      </x:c>
      <x:c r="O82" s="23" t="str">
        <x:f>IF(A82="","",'Assumptions'!$B$8*(SQRT(MAX(H82*0.3048,0))+SQRT(MAX(K82,0))))</x:f>
      </x:c>
      <x:c r="P82" s="22" t="str">
        <x:f>IF(A82="","",IF(L82&lt;=O82,"Yes","No"))</x:f>
      </x:c>
      <x:c r="Q82" s="24" t="str">
        <x:f>IF(A82="","",100*('Assumptions'!$B$6-N82)/('Assumptions'!$B$6-'Assumptions'!$B$5))</x:f>
      </x:c>
      <x:c r="R82" s="24" t="str">
        <x:f>IF(A82="","",MAX(0,MIN(100,Q82-IF(P82="No",'Assumptions'!$B$7,0))))</x:f>
      </x:c>
      <x:c r="S82" s="15" t="str">
        <x:f>IF(A82="","",IF(R82&gt;=80,"Strong",IF(R82&gt;=50,"Moderate","Weak")))</x:f>
      </x:c>
      <x:c r="T82" s="29" t="str">
        <x:f>IF(A82="","","Relative prototype score; not measured dBm")</x:f>
      </x:c>
    </x:row>
    <x:row r="83">
      <x:c r="A83" s="30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23" t="str">
        <x:f>IF(A83="","",2*'Assumptions'!$B$4*ASIN(SQRT(SIN(RADIANS(F83-I83)/2)^2+COS(RADIANS(F83))*COS(RADIANS(I83))*SIN(RADIANS(G83-J83)/2)^2)))</x:f>
      </x:c>
      <x:c r="M83" s="23" t="str">
        <x:f>IF(A83="","",SQRT(L83^2+((H83*0.3048-K83)/1000)^2))</x:f>
      </x:c>
      <x:c r="N83" s="23" t="str">
        <x:f>IF(A83="","",32.45+20*LOG89(MAX(M83,0.001))+20*LOG89(E83))</x:f>
      </x:c>
      <x:c r="O83" s="23" t="str">
        <x:f>IF(A83="","",'Assumptions'!$B$8*(SQRT(MAX(H83*0.3048,0))+SQRT(MAX(K83,0))))</x:f>
      </x:c>
      <x:c r="P83" s="22" t="str">
        <x:f>IF(A83="","",IF(L83&lt;=O83,"Yes","No"))</x:f>
      </x:c>
      <x:c r="Q83" s="24" t="str">
        <x:f>IF(A83="","",100*('Assumptions'!$B$6-N83)/('Assumptions'!$B$6-'Assumptions'!$B$5))</x:f>
      </x:c>
      <x:c r="R83" s="24" t="str">
        <x:f>IF(A83="","",MAX(0,MIN(100,Q83-IF(P83="No",'Assumptions'!$B$7,0))))</x:f>
      </x:c>
      <x:c r="S83" s="15" t="str">
        <x:f>IF(A83="","",IF(R83&gt;=80,"Strong",IF(R83&gt;=50,"Moderate","Weak")))</x:f>
      </x:c>
      <x:c r="T83" s="29" t="str">
        <x:f>IF(A83="","","Relative prototype score; not measured dBm")</x:f>
      </x:c>
    </x:row>
    <x:row r="84">
      <x:c r="A84" s="30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23" t="str">
        <x:f>IF(A84="","",2*'Assumptions'!$B$4*ASIN(SQRT(SIN(RADIANS(F84-I84)/2)^2+COS(RADIANS(F84))*COS(RADIANS(I84))*SIN(RADIANS(G84-J84)/2)^2)))</x:f>
      </x:c>
      <x:c r="M84" s="23" t="str">
        <x:f>IF(A84="","",SQRT(L84^2+((H84*0.3048-K84)/1000)^2))</x:f>
      </x:c>
      <x:c r="N84" s="23" t="str">
        <x:f>IF(A84="","",32.45+20*LOG90(MAX(M84,0.001))+20*LOG90(E84))</x:f>
      </x:c>
      <x:c r="O84" s="23" t="str">
        <x:f>IF(A84="","",'Assumptions'!$B$8*(SQRT(MAX(H84*0.3048,0))+SQRT(MAX(K84,0))))</x:f>
      </x:c>
      <x:c r="P84" s="22" t="str">
        <x:f>IF(A84="","",IF(L84&lt;=O84,"Yes","No"))</x:f>
      </x:c>
      <x:c r="Q84" s="24" t="str">
        <x:f>IF(A84="","",100*('Assumptions'!$B$6-N84)/('Assumptions'!$B$6-'Assumptions'!$B$5))</x:f>
      </x:c>
      <x:c r="R84" s="24" t="str">
        <x:f>IF(A84="","",MAX(0,MIN(100,Q84-IF(P84="No",'Assumptions'!$B$7,0))))</x:f>
      </x:c>
      <x:c r="S84" s="15" t="str">
        <x:f>IF(A84="","",IF(R84&gt;=80,"Strong",IF(R84&gt;=50,"Moderate","Weak")))</x:f>
      </x:c>
      <x:c r="T84" s="29" t="str">
        <x:f>IF(A84="","","Relative prototype score; not measured dBm")</x:f>
      </x:c>
    </x:row>
    <x:row r="85">
      <x:c r="A85" s="30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23" t="str">
        <x:f>IF(A85="","",2*'Assumptions'!$B$4*ASIN(SQRT(SIN(RADIANS(F85-I85)/2)^2+COS(RADIANS(F85))*COS(RADIANS(I85))*SIN(RADIANS(G85-J85)/2)^2)))</x:f>
      </x:c>
      <x:c r="M85" s="23" t="str">
        <x:f>IF(A85="","",SQRT(L85^2+((H85*0.3048-K85)/1000)^2))</x:f>
      </x:c>
      <x:c r="N85" s="23" t="str">
        <x:f>IF(A85="","",32.45+20*LOG91(MAX(M85,0.001))+20*LOG91(E85))</x:f>
      </x:c>
      <x:c r="O85" s="23" t="str">
        <x:f>IF(A85="","",'Assumptions'!$B$8*(SQRT(MAX(H85*0.3048,0))+SQRT(MAX(K85,0))))</x:f>
      </x:c>
      <x:c r="P85" s="22" t="str">
        <x:f>IF(A85="","",IF(L85&lt;=O85,"Yes","No"))</x:f>
      </x:c>
      <x:c r="Q85" s="24" t="str">
        <x:f>IF(A85="","",100*('Assumptions'!$B$6-N85)/('Assumptions'!$B$6-'Assumptions'!$B$5))</x:f>
      </x:c>
      <x:c r="R85" s="24" t="str">
        <x:f>IF(A85="","",MAX(0,MIN(100,Q85-IF(P85="No",'Assumptions'!$B$7,0))))</x:f>
      </x:c>
      <x:c r="S85" s="15" t="str">
        <x:f>IF(A85="","",IF(R85&gt;=80,"Strong",IF(R85&gt;=50,"Moderate","Weak")))</x:f>
      </x:c>
      <x:c r="T85" s="29" t="str">
        <x:f>IF(A85="","","Relative prototype score; not measured dBm")</x:f>
      </x:c>
    </x:row>
    <x:row r="86">
      <x:c r="A86" s="30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23" t="str">
        <x:f>IF(A86="","",2*'Assumptions'!$B$4*ASIN(SQRT(SIN(RADIANS(F86-I86)/2)^2+COS(RADIANS(F86))*COS(RADIANS(I86))*SIN(RADIANS(G86-J86)/2)^2)))</x:f>
      </x:c>
      <x:c r="M86" s="23" t="str">
        <x:f>IF(A86="","",SQRT(L86^2+((H86*0.3048-K86)/1000)^2))</x:f>
      </x:c>
      <x:c r="N86" s="23" t="str">
        <x:f>IF(A86="","",32.45+20*LOG92(MAX(M86,0.001))+20*LOG92(E86))</x:f>
      </x:c>
      <x:c r="O86" s="23" t="str">
        <x:f>IF(A86="","",'Assumptions'!$B$8*(SQRT(MAX(H86*0.3048,0))+SQRT(MAX(K86,0))))</x:f>
      </x:c>
      <x:c r="P86" s="22" t="str">
        <x:f>IF(A86="","",IF(L86&lt;=O86,"Yes","No"))</x:f>
      </x:c>
      <x:c r="Q86" s="24" t="str">
        <x:f>IF(A86="","",100*('Assumptions'!$B$6-N86)/('Assumptions'!$B$6-'Assumptions'!$B$5))</x:f>
      </x:c>
      <x:c r="R86" s="24" t="str">
        <x:f>IF(A86="","",MAX(0,MIN(100,Q86-IF(P86="No",'Assumptions'!$B$7,0))))</x:f>
      </x:c>
      <x:c r="S86" s="15" t="str">
        <x:f>IF(A86="","",IF(R86&gt;=80,"Strong",IF(R86&gt;=50,"Moderate","Weak")))</x:f>
      </x:c>
      <x:c r="T86" s="29" t="str">
        <x:f>IF(A86="","","Relative prototype score; not measured dBm")</x:f>
      </x:c>
    </x:row>
    <x:row r="87">
      <x:c r="A87" s="30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23" t="str">
        <x:f>IF(A87="","",2*'Assumptions'!$B$4*ASIN(SQRT(SIN(RADIANS(F87-I87)/2)^2+COS(RADIANS(F87))*COS(RADIANS(I87))*SIN(RADIANS(G87-J87)/2)^2)))</x:f>
      </x:c>
      <x:c r="M87" s="23" t="str">
        <x:f>IF(A87="","",SQRT(L87^2+((H87*0.3048-K87)/1000)^2))</x:f>
      </x:c>
      <x:c r="N87" s="23" t="str">
        <x:f>IF(A87="","",32.45+20*LOG93(MAX(M87,0.001))+20*LOG93(E87))</x:f>
      </x:c>
      <x:c r="O87" s="23" t="str">
        <x:f>IF(A87="","",'Assumptions'!$B$8*(SQRT(MAX(H87*0.3048,0))+SQRT(MAX(K87,0))))</x:f>
      </x:c>
      <x:c r="P87" s="22" t="str">
        <x:f>IF(A87="","",IF(L87&lt;=O87,"Yes","No"))</x:f>
      </x:c>
      <x:c r="Q87" s="24" t="str">
        <x:f>IF(A87="","",100*('Assumptions'!$B$6-N87)/('Assumptions'!$B$6-'Assumptions'!$B$5))</x:f>
      </x:c>
      <x:c r="R87" s="24" t="str">
        <x:f>IF(A87="","",MAX(0,MIN(100,Q87-IF(P87="No",'Assumptions'!$B$7,0))))</x:f>
      </x:c>
      <x:c r="S87" s="15" t="str">
        <x:f>IF(A87="","",IF(R87&gt;=80,"Strong",IF(R87&gt;=50,"Moderate","Weak")))</x:f>
      </x:c>
      <x:c r="T87" s="29" t="str">
        <x:f>IF(A87="","","Relative prototype score; not measured dBm")</x:f>
      </x:c>
    </x:row>
    <x:row r="88">
      <x:c r="A88" s="30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  <x:c r="L88" s="23" t="str">
        <x:f>IF(A88="","",2*'Assumptions'!$B$4*ASIN(SQRT(SIN(RADIANS(F88-I88)/2)^2+COS(RADIANS(F88))*COS(RADIANS(I88))*SIN(RADIANS(G88-J88)/2)^2)))</x:f>
      </x:c>
      <x:c r="M88" s="23" t="str">
        <x:f>IF(A88="","",SQRT(L88^2+((H88*0.3048-K88)/1000)^2))</x:f>
      </x:c>
      <x:c r="N88" s="23" t="str">
        <x:f>IF(A88="","",32.45+20*LOG94(MAX(M88,0.001))+20*LOG94(E88))</x:f>
      </x:c>
      <x:c r="O88" s="23" t="str">
        <x:f>IF(A88="","",'Assumptions'!$B$8*(SQRT(MAX(H88*0.3048,0))+SQRT(MAX(K88,0))))</x:f>
      </x:c>
      <x:c r="P88" s="22" t="str">
        <x:f>IF(A88="","",IF(L88&lt;=O88,"Yes","No"))</x:f>
      </x:c>
      <x:c r="Q88" s="24" t="str">
        <x:f>IF(A88="","",100*('Assumptions'!$B$6-N88)/('Assumptions'!$B$6-'Assumptions'!$B$5))</x:f>
      </x:c>
      <x:c r="R88" s="24" t="str">
        <x:f>IF(A88="","",MAX(0,MIN(100,Q88-IF(P88="No",'Assumptions'!$B$7,0))))</x:f>
      </x:c>
      <x:c r="S88" s="15" t="str">
        <x:f>IF(A88="","",IF(R88&gt;=80,"Strong",IF(R88&gt;=50,"Moderate","Weak")))</x:f>
      </x:c>
      <x:c r="T88" s="29" t="str">
        <x:f>IF(A88="","","Relative prototype score; not measured dBm")</x:f>
      </x:c>
    </x:row>
    <x:row r="89">
      <x:c r="A89" s="30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  <x:c r="L89" s="23" t="str">
        <x:f>IF(A89="","",2*'Assumptions'!$B$4*ASIN(SQRT(SIN(RADIANS(F89-I89)/2)^2+COS(RADIANS(F89))*COS(RADIANS(I89))*SIN(RADIANS(G89-J89)/2)^2)))</x:f>
      </x:c>
      <x:c r="M89" s="23" t="str">
        <x:f>IF(A89="","",SQRT(L89^2+((H89*0.3048-K89)/1000)^2))</x:f>
      </x:c>
      <x:c r="N89" s="23" t="str">
        <x:f>IF(A89="","",32.45+20*LOG95(MAX(M89,0.001))+20*LOG95(E89))</x:f>
      </x:c>
      <x:c r="O89" s="23" t="str">
        <x:f>IF(A89="","",'Assumptions'!$B$8*(SQRT(MAX(H89*0.3048,0))+SQRT(MAX(K89,0))))</x:f>
      </x:c>
      <x:c r="P89" s="22" t="str">
        <x:f>IF(A89="","",IF(L89&lt;=O89,"Yes","No"))</x:f>
      </x:c>
      <x:c r="Q89" s="24" t="str">
        <x:f>IF(A89="","",100*('Assumptions'!$B$6-N89)/('Assumptions'!$B$6-'Assumptions'!$B$5))</x:f>
      </x:c>
      <x:c r="R89" s="24" t="str">
        <x:f>IF(A89="","",MAX(0,MIN(100,Q89-IF(P89="No",'Assumptions'!$B$7,0))))</x:f>
      </x:c>
      <x:c r="S89" s="15" t="str">
        <x:f>IF(A89="","",IF(R89&gt;=80,"Strong",IF(R89&gt;=50,"Moderate","Weak")))</x:f>
      </x:c>
      <x:c r="T89" s="29" t="str">
        <x:f>IF(A89="","","Relative prototype score; not measured dBm")</x:f>
      </x:c>
    </x:row>
    <x:row r="90">
      <x:c r="A90" s="30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  <x:c r="L90" s="23" t="str">
        <x:f>IF(A90="","",2*'Assumptions'!$B$4*ASIN(SQRT(SIN(RADIANS(F90-I90)/2)^2+COS(RADIANS(F90))*COS(RADIANS(I90))*SIN(RADIANS(G90-J90)/2)^2)))</x:f>
      </x:c>
      <x:c r="M90" s="23" t="str">
        <x:f>IF(A90="","",SQRT(L90^2+((H90*0.3048-K90)/1000)^2))</x:f>
      </x:c>
      <x:c r="N90" s="23" t="str">
        <x:f>IF(A90="","",32.45+20*LOG96(MAX(M90,0.001))+20*LOG96(E90))</x:f>
      </x:c>
      <x:c r="O90" s="23" t="str">
        <x:f>IF(A90="","",'Assumptions'!$B$8*(SQRT(MAX(H90*0.3048,0))+SQRT(MAX(K90,0))))</x:f>
      </x:c>
      <x:c r="P90" s="22" t="str">
        <x:f>IF(A90="","",IF(L90&lt;=O90,"Yes","No"))</x:f>
      </x:c>
      <x:c r="Q90" s="24" t="str">
        <x:f>IF(A90="","",100*('Assumptions'!$B$6-N90)/('Assumptions'!$B$6-'Assumptions'!$B$5))</x:f>
      </x:c>
      <x:c r="R90" s="24" t="str">
        <x:f>IF(A90="","",MAX(0,MIN(100,Q90-IF(P90="No",'Assumptions'!$B$7,0))))</x:f>
      </x:c>
      <x:c r="S90" s="15" t="str">
        <x:f>IF(A90="","",IF(R90&gt;=80,"Strong",IF(R90&gt;=50,"Moderate","Weak")))</x:f>
      </x:c>
      <x:c r="T90" s="29" t="str">
        <x:f>IF(A90="","","Relative prototype score; not measured dBm")</x:f>
      </x:c>
    </x:row>
    <x:row r="91">
      <x:c r="A91" s="30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  <x:c r="L91" s="23" t="str">
        <x:f>IF(A91="","",2*'Assumptions'!$B$4*ASIN(SQRT(SIN(RADIANS(F91-I91)/2)^2+COS(RADIANS(F91))*COS(RADIANS(I91))*SIN(RADIANS(G91-J91)/2)^2)))</x:f>
      </x:c>
      <x:c r="M91" s="23" t="str">
        <x:f>IF(A91="","",SQRT(L91^2+((H91*0.3048-K91)/1000)^2))</x:f>
      </x:c>
      <x:c r="N91" s="23" t="str">
        <x:f>IF(A91="","",32.45+20*LOG97(MAX(M91,0.001))+20*LOG97(E91))</x:f>
      </x:c>
      <x:c r="O91" s="23" t="str">
        <x:f>IF(A91="","",'Assumptions'!$B$8*(SQRT(MAX(H91*0.3048,0))+SQRT(MAX(K91,0))))</x:f>
      </x:c>
      <x:c r="P91" s="22" t="str">
        <x:f>IF(A91="","",IF(L91&lt;=O91,"Yes","No"))</x:f>
      </x:c>
      <x:c r="Q91" s="24" t="str">
        <x:f>IF(A91="","",100*('Assumptions'!$B$6-N91)/('Assumptions'!$B$6-'Assumptions'!$B$5))</x:f>
      </x:c>
      <x:c r="R91" s="24" t="str">
        <x:f>IF(A91="","",MAX(0,MIN(100,Q91-IF(P91="No",'Assumptions'!$B$7,0))))</x:f>
      </x:c>
      <x:c r="S91" s="15" t="str">
        <x:f>IF(A91="","",IF(R91&gt;=80,"Strong",IF(R91&gt;=50,"Moderate","Weak")))</x:f>
      </x:c>
      <x:c r="T91" s="29" t="str">
        <x:f>IF(A91="","","Relative prototype score; not measured dBm")</x:f>
      </x:c>
    </x:row>
    <x:row r="92">
      <x:c r="A92" s="30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  <x:c r="L92" s="23" t="str">
        <x:f>IF(A92="","",2*'Assumptions'!$B$4*ASIN(SQRT(SIN(RADIANS(F92-I92)/2)^2+COS(RADIANS(F92))*COS(RADIANS(I92))*SIN(RADIANS(G92-J92)/2)^2)))</x:f>
      </x:c>
      <x:c r="M92" s="23" t="str">
        <x:f>IF(A92="","",SQRT(L92^2+((H92*0.3048-K92)/1000)^2))</x:f>
      </x:c>
      <x:c r="N92" s="23" t="str">
        <x:f>IF(A92="","",32.45+20*LOG98(MAX(M92,0.001))+20*LOG98(E92))</x:f>
      </x:c>
      <x:c r="O92" s="23" t="str">
        <x:f>IF(A92="","",'Assumptions'!$B$8*(SQRT(MAX(H92*0.3048,0))+SQRT(MAX(K92,0))))</x:f>
      </x:c>
      <x:c r="P92" s="22" t="str">
        <x:f>IF(A92="","",IF(L92&lt;=O92,"Yes","No"))</x:f>
      </x:c>
      <x:c r="Q92" s="24" t="str">
        <x:f>IF(A92="","",100*('Assumptions'!$B$6-N92)/('Assumptions'!$B$6-'Assumptions'!$B$5))</x:f>
      </x:c>
      <x:c r="R92" s="24" t="str">
        <x:f>IF(A92="","",MAX(0,MIN(100,Q92-IF(P92="No",'Assumptions'!$B$7,0))))</x:f>
      </x:c>
      <x:c r="S92" s="15" t="str">
        <x:f>IF(A92="","",IF(R92&gt;=80,"Strong",IF(R92&gt;=50,"Moderate","Weak")))</x:f>
      </x:c>
      <x:c r="T92" s="29" t="str">
        <x:f>IF(A92="","","Relative prototype score; not measured dBm")</x:f>
      </x:c>
    </x:row>
    <x:row r="93">
      <x:c r="A93" s="30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  <x:c r="L93" s="23" t="str">
        <x:f>IF(A93="","",2*'Assumptions'!$B$4*ASIN(SQRT(SIN(RADIANS(F93-I93)/2)^2+COS(RADIANS(F93))*COS(RADIANS(I93))*SIN(RADIANS(G93-J93)/2)^2)))</x:f>
      </x:c>
      <x:c r="M93" s="23" t="str">
        <x:f>IF(A93="","",SQRT(L93^2+((H93*0.3048-K93)/1000)^2))</x:f>
      </x:c>
      <x:c r="N93" s="23" t="str">
        <x:f>IF(A93="","",32.45+20*LOG99(MAX(M93,0.001))+20*LOG99(E93))</x:f>
      </x:c>
      <x:c r="O93" s="23" t="str">
        <x:f>IF(A93="","",'Assumptions'!$B$8*(SQRT(MAX(H93*0.3048,0))+SQRT(MAX(K93,0))))</x:f>
      </x:c>
      <x:c r="P93" s="22" t="str">
        <x:f>IF(A93="","",IF(L93&lt;=O93,"Yes","No"))</x:f>
      </x:c>
      <x:c r="Q93" s="24" t="str">
        <x:f>IF(A93="","",100*('Assumptions'!$B$6-N93)/('Assumptions'!$B$6-'Assumptions'!$B$5))</x:f>
      </x:c>
      <x:c r="R93" s="24" t="str">
        <x:f>IF(A93="","",MAX(0,MIN(100,Q93-IF(P93="No",'Assumptions'!$B$7,0))))</x:f>
      </x:c>
      <x:c r="S93" s="15" t="str">
        <x:f>IF(A93="","",IF(R93&gt;=80,"Strong",IF(R93&gt;=50,"Moderate","Weak")))</x:f>
      </x:c>
      <x:c r="T93" s="29" t="str">
        <x:f>IF(A93="","","Relative prototype score; not measured dBm")</x:f>
      </x:c>
    </x:row>
    <x:row r="94">
      <x:c r="A94" s="30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  <x:c r="L94" s="23" t="str">
        <x:f>IF(A94="","",2*'Assumptions'!$B$4*ASIN(SQRT(SIN(RADIANS(F94-I94)/2)^2+COS(RADIANS(F94))*COS(RADIANS(I94))*SIN(RADIANS(G94-J94)/2)^2)))</x:f>
      </x:c>
      <x:c r="M94" s="23" t="str">
        <x:f>IF(A94="","",SQRT(L94^2+((H94*0.3048-K94)/1000)^2))</x:f>
      </x:c>
      <x:c r="N94" s="23" t="str">
        <x:f>IF(A94="","",32.45+20*LOG100(MAX(M94,0.001))+20*LOG100(E94))</x:f>
      </x:c>
      <x:c r="O94" s="23" t="str">
        <x:f>IF(A94="","",'Assumptions'!$B$8*(SQRT(MAX(H94*0.3048,0))+SQRT(MAX(K94,0))))</x:f>
      </x:c>
      <x:c r="P94" s="22" t="str">
        <x:f>IF(A94="","",IF(L94&lt;=O94,"Yes","No"))</x:f>
      </x:c>
      <x:c r="Q94" s="24" t="str">
        <x:f>IF(A94="","",100*('Assumptions'!$B$6-N94)/('Assumptions'!$B$6-'Assumptions'!$B$5))</x:f>
      </x:c>
      <x:c r="R94" s="24" t="str">
        <x:f>IF(A94="","",MAX(0,MIN(100,Q94-IF(P94="No",'Assumptions'!$B$7,0))))</x:f>
      </x:c>
      <x:c r="S94" s="15" t="str">
        <x:f>IF(A94="","",IF(R94&gt;=80,"Strong",IF(R94&gt;=50,"Moderate","Weak")))</x:f>
      </x:c>
      <x:c r="T94" s="29" t="str">
        <x:f>IF(A94="","","Relative prototype score; not measured dBm")</x:f>
      </x:c>
    </x:row>
    <x:row r="95">
      <x:c r="A95" s="30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  <x:c r="L95" s="23" t="str">
        <x:f>IF(A95="","",2*'Assumptions'!$B$4*ASIN(SQRT(SIN(RADIANS(F95-I95)/2)^2+COS(RADIANS(F95))*COS(RADIANS(I95))*SIN(RADIANS(G95-J95)/2)^2)))</x:f>
      </x:c>
      <x:c r="M95" s="23" t="str">
        <x:f>IF(A95="","",SQRT(L95^2+((H95*0.3048-K95)/1000)^2))</x:f>
      </x:c>
      <x:c r="N95" s="23" t="str">
        <x:f>IF(A95="","",32.45+20*LOG101(MAX(M95,0.001))+20*LOG101(E95))</x:f>
      </x:c>
      <x:c r="O95" s="23" t="str">
        <x:f>IF(A95="","",'Assumptions'!$B$8*(SQRT(MAX(H95*0.3048,0))+SQRT(MAX(K95,0))))</x:f>
      </x:c>
      <x:c r="P95" s="22" t="str">
        <x:f>IF(A95="","",IF(L95&lt;=O95,"Yes","No"))</x:f>
      </x:c>
      <x:c r="Q95" s="24" t="str">
        <x:f>IF(A95="","",100*('Assumptions'!$B$6-N95)/('Assumptions'!$B$6-'Assumptions'!$B$5))</x:f>
      </x:c>
      <x:c r="R95" s="24" t="str">
        <x:f>IF(A95="","",MAX(0,MIN(100,Q95-IF(P95="No",'Assumptions'!$B$7,0))))</x:f>
      </x:c>
      <x:c r="S95" s="15" t="str">
        <x:f>IF(A95="","",IF(R95&gt;=80,"Strong",IF(R95&gt;=50,"Moderate","Weak")))</x:f>
      </x:c>
      <x:c r="T95" s="29" t="str">
        <x:f>IF(A95="","","Relative prototype score; not measured dBm")</x:f>
      </x:c>
    </x:row>
    <x:row r="96">
      <x:c r="A96" s="30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  <x:c r="L96" s="23" t="str">
        <x:f>IF(A96="","",2*'Assumptions'!$B$4*ASIN(SQRT(SIN(RADIANS(F96-I96)/2)^2+COS(RADIANS(F96))*COS(RADIANS(I96))*SIN(RADIANS(G96-J96)/2)^2)))</x:f>
      </x:c>
      <x:c r="M96" s="23" t="str">
        <x:f>IF(A96="","",SQRT(L96^2+((H96*0.3048-K96)/1000)^2))</x:f>
      </x:c>
      <x:c r="N96" s="23" t="str">
        <x:f>IF(A96="","",32.45+20*LOG102(MAX(M96,0.001))+20*LOG102(E96))</x:f>
      </x:c>
      <x:c r="O96" s="23" t="str">
        <x:f>IF(A96="","",'Assumptions'!$B$8*(SQRT(MAX(H96*0.3048,0))+SQRT(MAX(K96,0))))</x:f>
      </x:c>
      <x:c r="P96" s="22" t="str">
        <x:f>IF(A96="","",IF(L96&lt;=O96,"Yes","No"))</x:f>
      </x:c>
      <x:c r="Q96" s="24" t="str">
        <x:f>IF(A96="","",100*('Assumptions'!$B$6-N96)/('Assumptions'!$B$6-'Assumptions'!$B$5))</x:f>
      </x:c>
      <x:c r="R96" s="24" t="str">
        <x:f>IF(A96="","",MAX(0,MIN(100,Q96-IF(P96="No",'Assumptions'!$B$7,0))))</x:f>
      </x:c>
      <x:c r="S96" s="15" t="str">
        <x:f>IF(A96="","",IF(R96&gt;=80,"Strong",IF(R96&gt;=50,"Moderate","Weak")))</x:f>
      </x:c>
      <x:c r="T96" s="29" t="str">
        <x:f>IF(A96="","","Relative prototype score; not measured dBm")</x:f>
      </x:c>
    </x:row>
    <x:row r="97">
      <x:c r="A97" s="30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  <x:c r="L97" s="23" t="str">
        <x:f>IF(A97="","",2*'Assumptions'!$B$4*ASIN(SQRT(SIN(RADIANS(F97-I97)/2)^2+COS(RADIANS(F97))*COS(RADIANS(I97))*SIN(RADIANS(G97-J97)/2)^2)))</x:f>
      </x:c>
      <x:c r="M97" s="23" t="str">
        <x:f>IF(A97="","",SQRT(L97^2+((H97*0.3048-K97)/1000)^2))</x:f>
      </x:c>
      <x:c r="N97" s="23" t="str">
        <x:f>IF(A97="","",32.45+20*LOG103(MAX(M97,0.001))+20*LOG103(E97))</x:f>
      </x:c>
      <x:c r="O97" s="23" t="str">
        <x:f>IF(A97="","",'Assumptions'!$B$8*(SQRT(MAX(H97*0.3048,0))+SQRT(MAX(K97,0))))</x:f>
      </x:c>
      <x:c r="P97" s="22" t="str">
        <x:f>IF(A97="","",IF(L97&lt;=O97,"Yes","No"))</x:f>
      </x:c>
      <x:c r="Q97" s="24" t="str">
        <x:f>IF(A97="","",100*('Assumptions'!$B$6-N97)/('Assumptions'!$B$6-'Assumptions'!$B$5))</x:f>
      </x:c>
      <x:c r="R97" s="24" t="str">
        <x:f>IF(A97="","",MAX(0,MIN(100,Q97-IF(P97="No",'Assumptions'!$B$7,0))))</x:f>
      </x:c>
      <x:c r="S97" s="15" t="str">
        <x:f>IF(A97="","",IF(R97&gt;=80,"Strong",IF(R97&gt;=50,"Moderate","Weak")))</x:f>
      </x:c>
      <x:c r="T97" s="29" t="str">
        <x:f>IF(A97="","","Relative prototype score; not measured dBm")</x:f>
      </x:c>
    </x:row>
    <x:row r="98">
      <x:c r="A98" s="30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  <x:c r="L98" s="23" t="str">
        <x:f>IF(A98="","",2*'Assumptions'!$B$4*ASIN(SQRT(SIN(RADIANS(F98-I98)/2)^2+COS(RADIANS(F98))*COS(RADIANS(I98))*SIN(RADIANS(G98-J98)/2)^2)))</x:f>
      </x:c>
      <x:c r="M98" s="23" t="str">
        <x:f>IF(A98="","",SQRT(L98^2+((H98*0.3048-K98)/1000)^2))</x:f>
      </x:c>
      <x:c r="N98" s="23" t="str">
        <x:f>IF(A98="","",32.45+20*LOG104(MAX(M98,0.001))+20*LOG104(E98))</x:f>
      </x:c>
      <x:c r="O98" s="23" t="str">
        <x:f>IF(A98="","",'Assumptions'!$B$8*(SQRT(MAX(H98*0.3048,0))+SQRT(MAX(K98,0))))</x:f>
      </x:c>
      <x:c r="P98" s="22" t="str">
        <x:f>IF(A98="","",IF(L98&lt;=O98,"Yes","No"))</x:f>
      </x:c>
      <x:c r="Q98" s="24" t="str">
        <x:f>IF(A98="","",100*('Assumptions'!$B$6-N98)/('Assumptions'!$B$6-'Assumptions'!$B$5))</x:f>
      </x:c>
      <x:c r="R98" s="24" t="str">
        <x:f>IF(A98="","",MAX(0,MIN(100,Q98-IF(P98="No",'Assumptions'!$B$7,0))))</x:f>
      </x:c>
      <x:c r="S98" s="15" t="str">
        <x:f>IF(A98="","",IF(R98&gt;=80,"Strong",IF(R98&gt;=50,"Moderate","Weak")))</x:f>
      </x:c>
      <x:c r="T98" s="29" t="str">
        <x:f>IF(A98="","","Relative prototype score; not measured dBm")</x:f>
      </x:c>
    </x:row>
    <x:row r="99">
      <x:c r="A99" s="30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  <x:c r="L99" s="23" t="str">
        <x:f>IF(A99="","",2*'Assumptions'!$B$4*ASIN(SQRT(SIN(RADIANS(F99-I99)/2)^2+COS(RADIANS(F99))*COS(RADIANS(I99))*SIN(RADIANS(G99-J99)/2)^2)))</x:f>
      </x:c>
      <x:c r="M99" s="23" t="str">
        <x:f>IF(A99="","",SQRT(L99^2+((H99*0.3048-K99)/1000)^2))</x:f>
      </x:c>
      <x:c r="N99" s="23" t="str">
        <x:f>IF(A99="","",32.45+20*LOG105(MAX(M99,0.001))+20*LOG105(E99))</x:f>
      </x:c>
      <x:c r="O99" s="23" t="str">
        <x:f>IF(A99="","",'Assumptions'!$B$8*(SQRT(MAX(H99*0.3048,0))+SQRT(MAX(K99,0))))</x:f>
      </x:c>
      <x:c r="P99" s="22" t="str">
        <x:f>IF(A99="","",IF(L99&lt;=O99,"Yes","No"))</x:f>
      </x:c>
      <x:c r="Q99" s="24" t="str">
        <x:f>IF(A99="","",100*('Assumptions'!$B$6-N99)/('Assumptions'!$B$6-'Assumptions'!$B$5))</x:f>
      </x:c>
      <x:c r="R99" s="24" t="str">
        <x:f>IF(A99="","",MAX(0,MIN(100,Q99-IF(P99="No",'Assumptions'!$B$7,0))))</x:f>
      </x:c>
      <x:c r="S99" s="15" t="str">
        <x:f>IF(A99="","",IF(R99&gt;=80,"Strong",IF(R99&gt;=50,"Moderate","Weak")))</x:f>
      </x:c>
      <x:c r="T99" s="29" t="str">
        <x:f>IF(A99="","","Relative prototype score; not measured dBm")</x:f>
      </x:c>
    </x:row>
    <x:row r="100">
      <x:c r="A100" s="30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  <x:c r="L100" s="23" t="str">
        <x:f>IF(A100="","",2*'Assumptions'!$B$4*ASIN(SQRT(SIN(RADIANS(F100-I100)/2)^2+COS(RADIANS(F100))*COS(RADIANS(I100))*SIN(RADIANS(G100-J100)/2)^2)))</x:f>
      </x:c>
      <x:c r="M100" s="23" t="str">
        <x:f>IF(A100="","",SQRT(L100^2+((H100*0.3048-K100)/1000)^2))</x:f>
      </x:c>
      <x:c r="N100" s="23" t="str">
        <x:f>IF(A100="","",32.45+20*LOG106(MAX(M100,0.001))+20*LOG106(E100))</x:f>
      </x:c>
      <x:c r="O100" s="23" t="str">
        <x:f>IF(A100="","",'Assumptions'!$B$8*(SQRT(MAX(H100*0.3048,0))+SQRT(MAX(K100,0))))</x:f>
      </x:c>
      <x:c r="P100" s="22" t="str">
        <x:f>IF(A100="","",IF(L100&lt;=O100,"Yes","No"))</x:f>
      </x:c>
      <x:c r="Q100" s="24" t="str">
        <x:f>IF(A100="","",100*('Assumptions'!$B$6-N100)/('Assumptions'!$B$6-'Assumptions'!$B$5))</x:f>
      </x:c>
      <x:c r="R100" s="24" t="str">
        <x:f>IF(A100="","",MAX(0,MIN(100,Q100-IF(P100="No",'Assumptions'!$B$7,0))))</x:f>
      </x:c>
      <x:c r="S100" s="15" t="str">
        <x:f>IF(A100="","",IF(R100&gt;=80,"Strong",IF(R100&gt;=50,"Moderate","Weak")))</x:f>
      </x:c>
      <x:c r="T100" s="29" t="str">
        <x:f>IF(A100="","","Relative prototype score; not measured dBm")</x:f>
      </x:c>
    </x:row>
    <x:row r="101">
      <x:c r="A101" s="30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23" t="str">
        <x:f>IF(A101="","",2*'Assumptions'!$B$4*ASIN(SQRT(SIN(RADIANS(F101-I101)/2)^2+COS(RADIANS(F101))*COS(RADIANS(I101))*SIN(RADIANS(G101-J101)/2)^2)))</x:f>
      </x:c>
      <x:c r="M101" s="23" t="str">
        <x:f>IF(A101="","",SQRT(L101^2+((H101*0.3048-K101)/1000)^2))</x:f>
      </x:c>
      <x:c r="N101" s="23" t="str">
        <x:f>IF(A101="","",32.45+20*LOG107(MAX(M101,0.001))+20*LOG107(E101))</x:f>
      </x:c>
      <x:c r="O101" s="23" t="str">
        <x:f>IF(A101="","",'Assumptions'!$B$8*(SQRT(MAX(H101*0.3048,0))+SQRT(MAX(K101,0))))</x:f>
      </x:c>
      <x:c r="P101" s="22" t="str">
        <x:f>IF(A101="","",IF(L101&lt;=O101,"Yes","No"))</x:f>
      </x:c>
      <x:c r="Q101" s="24" t="str">
        <x:f>IF(A101="","",100*('Assumptions'!$B$6-N101)/('Assumptions'!$B$6-'Assumptions'!$B$5))</x:f>
      </x:c>
      <x:c r="R101" s="24" t="str">
        <x:f>IF(A101="","",MAX(0,MIN(100,Q101-IF(P101="No",'Assumptions'!$B$7,0))))</x:f>
      </x:c>
      <x:c r="S101" s="15" t="str">
        <x:f>IF(A101="","",IF(R101&gt;=80,"Strong",IF(R101&gt;=50,"Moderate","Weak")))</x:f>
      </x:c>
      <x:c r="T101" s="29" t="str">
        <x:f>IF(A101="","","Relative prototype score; not measured dBm")</x:f>
      </x:c>
    </x:row>
    <x:row r="102">
      <x:c r="A102" s="30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23" t="str">
        <x:f>IF(A102="","",2*'Assumptions'!$B$4*ASIN(SQRT(SIN(RADIANS(F102-I102)/2)^2+COS(RADIANS(F102))*COS(RADIANS(I102))*SIN(RADIANS(G102-J102)/2)^2)))</x:f>
      </x:c>
      <x:c r="M102" s="23" t="str">
        <x:f>IF(A102="","",SQRT(L102^2+((H102*0.3048-K102)/1000)^2))</x:f>
      </x:c>
      <x:c r="N102" s="23" t="str">
        <x:f>IF(A102="","",32.45+20*LOG108(MAX(M102,0.001))+20*LOG108(E102))</x:f>
      </x:c>
      <x:c r="O102" s="23" t="str">
        <x:f>IF(A102="","",'Assumptions'!$B$8*(SQRT(MAX(H102*0.3048,0))+SQRT(MAX(K102,0))))</x:f>
      </x:c>
      <x:c r="P102" s="22" t="str">
        <x:f>IF(A102="","",IF(L102&lt;=O102,"Yes","No"))</x:f>
      </x:c>
      <x:c r="Q102" s="24" t="str">
        <x:f>IF(A102="","",100*('Assumptions'!$B$6-N102)/('Assumptions'!$B$6-'Assumptions'!$B$5))</x:f>
      </x:c>
      <x:c r="R102" s="24" t="str">
        <x:f>IF(A102="","",MAX(0,MIN(100,Q102-IF(P102="No",'Assumptions'!$B$7,0))))</x:f>
      </x:c>
      <x:c r="S102" s="15" t="str">
        <x:f>IF(A102="","",IF(R102&gt;=80,"Strong",IF(R102&gt;=50,"Moderate","Weak")))</x:f>
      </x:c>
      <x:c r="T102" s="29" t="str">
        <x:f>IF(A102="","","Relative prototype score; not measured dBm")</x:f>
      </x:c>
    </x:row>
    <x:row r="103">
      <x:c r="A103" s="30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23" t="str">
        <x:f>IF(A103="","",2*'Assumptions'!$B$4*ASIN(SQRT(SIN(RADIANS(F103-I103)/2)^2+COS(RADIANS(F103))*COS(RADIANS(I103))*SIN(RADIANS(G103-J103)/2)^2)))</x:f>
      </x:c>
      <x:c r="M103" s="23" t="str">
        <x:f>IF(A103="","",SQRT(L103^2+((H103*0.3048-K103)/1000)^2))</x:f>
      </x:c>
      <x:c r="N103" s="23" t="str">
        <x:f>IF(A103="","",32.45+20*LOG109(MAX(M103,0.001))+20*LOG109(E103))</x:f>
      </x:c>
      <x:c r="O103" s="23" t="str">
        <x:f>IF(A103="","",'Assumptions'!$B$8*(SQRT(MAX(H103*0.3048,0))+SQRT(MAX(K103,0))))</x:f>
      </x:c>
      <x:c r="P103" s="22" t="str">
        <x:f>IF(A103="","",IF(L103&lt;=O103,"Yes","No"))</x:f>
      </x:c>
      <x:c r="Q103" s="24" t="str">
        <x:f>IF(A103="","",100*('Assumptions'!$B$6-N103)/('Assumptions'!$B$6-'Assumptions'!$B$5))</x:f>
      </x:c>
      <x:c r="R103" s="24" t="str">
        <x:f>IF(A103="","",MAX(0,MIN(100,Q103-IF(P103="No",'Assumptions'!$B$7,0))))</x:f>
      </x:c>
      <x:c r="S103" s="15" t="str">
        <x:f>IF(A103="","",IF(R103&gt;=80,"Strong",IF(R103&gt;=50,"Moderate","Weak")))</x:f>
      </x:c>
      <x:c r="T103" s="29" t="str">
        <x:f>IF(A103="","","Relative prototype score; not measured dBm")</x:f>
      </x:c>
    </x:row>
    <x:row r="104">
      <x:c r="A104" s="30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23" t="str">
        <x:f>IF(A104="","",2*'Assumptions'!$B$4*ASIN(SQRT(SIN(RADIANS(F104-I104)/2)^2+COS(RADIANS(F104))*COS(RADIANS(I104))*SIN(RADIANS(G104-J104)/2)^2)))</x:f>
      </x:c>
      <x:c r="M104" s="23" t="str">
        <x:f>IF(A104="","",SQRT(L104^2+((H104*0.3048-K104)/1000)^2))</x:f>
      </x:c>
      <x:c r="N104" s="23" t="str">
        <x:f>IF(A104="","",32.45+20*LOG110(MAX(M104,0.001))+20*LOG110(E104))</x:f>
      </x:c>
      <x:c r="O104" s="23" t="str">
        <x:f>IF(A104="","",'Assumptions'!$B$8*(SQRT(MAX(H104*0.3048,0))+SQRT(MAX(K104,0))))</x:f>
      </x:c>
      <x:c r="P104" s="22" t="str">
        <x:f>IF(A104="","",IF(L104&lt;=O104,"Yes","No"))</x:f>
      </x:c>
      <x:c r="Q104" s="24" t="str">
        <x:f>IF(A104="","",100*('Assumptions'!$B$6-N104)/('Assumptions'!$B$6-'Assumptions'!$B$5))</x:f>
      </x:c>
      <x:c r="R104" s="24" t="str">
        <x:f>IF(A104="","",MAX(0,MIN(100,Q104-IF(P104="No",'Assumptions'!$B$7,0))))</x:f>
      </x:c>
      <x:c r="S104" s="15" t="str">
        <x:f>IF(A104="","",IF(R104&gt;=80,"Strong",IF(R104&gt;=50,"Moderate","Weak")))</x:f>
      </x:c>
      <x:c r="T104" s="29" t="str">
        <x:f>IF(A104="","","Relative prototype score; not measured dBm")</x:f>
      </x:c>
    </x:row>
    <x:row r="105">
      <x:c r="A105" s="30"/>
      <x:c r="B105" s="15"/>
      <x:c r="C105" s="15"/>
      <x:c r="D105" s="15"/>
      <x:c r="E105" s="15"/>
      <x:c r="F105" s="15"/>
      <x:c r="G105" s="15"/>
      <x:c r="H105" s="15"/>
      <x:c r="I105" s="15"/>
      <x:c r="J105" s="15"/>
      <x:c r="K105" s="15"/>
      <x:c r="L105" s="23" t="str">
        <x:f>IF(A105="","",2*'Assumptions'!$B$4*ASIN(SQRT(SIN(RADIANS(F105-I105)/2)^2+COS(RADIANS(F105))*COS(RADIANS(I105))*SIN(RADIANS(G105-J105)/2)^2)))</x:f>
      </x:c>
      <x:c r="M105" s="23" t="str">
        <x:f>IF(A105="","",SQRT(L105^2+((H105*0.3048-K105)/1000)^2))</x:f>
      </x:c>
      <x:c r="N105" s="23" t="str">
        <x:f>IF(A105="","",32.45+20*LOG111(MAX(M105,0.001))+20*LOG111(E105))</x:f>
      </x:c>
      <x:c r="O105" s="23" t="str">
        <x:f>IF(A105="","",'Assumptions'!$B$8*(SQRT(MAX(H105*0.3048,0))+SQRT(MAX(K105,0))))</x:f>
      </x:c>
      <x:c r="P105" s="22" t="str">
        <x:f>IF(A105="","",IF(L105&lt;=O105,"Yes","No"))</x:f>
      </x:c>
      <x:c r="Q105" s="24" t="str">
        <x:f>IF(A105="","",100*('Assumptions'!$B$6-N105)/('Assumptions'!$B$6-'Assumptions'!$B$5))</x:f>
      </x:c>
      <x:c r="R105" s="24" t="str">
        <x:f>IF(A105="","",MAX(0,MIN(100,Q105-IF(P105="No",'Assumptions'!$B$7,0))))</x:f>
      </x:c>
      <x:c r="S105" s="15" t="str">
        <x:f>IF(A105="","",IF(R105&gt;=80,"Strong",IF(R105&gt;=50,"Moderate","Weak")))</x:f>
      </x:c>
      <x:c r="T105" s="29" t="str">
        <x:f>IF(A105="","","Relative prototype score; not measured dBm")</x:f>
      </x:c>
    </x:row>
    <x:row r="106">
      <x:c r="A106" s="30"/>
      <x:c r="B106" s="15"/>
      <x:c r="C106" s="15"/>
      <x:c r="D106" s="15"/>
      <x:c r="E106" s="15"/>
      <x:c r="F106" s="15"/>
      <x:c r="G106" s="15"/>
      <x:c r="H106" s="15"/>
      <x:c r="I106" s="15"/>
      <x:c r="J106" s="15"/>
      <x:c r="K106" s="15"/>
      <x:c r="L106" s="23" t="str">
        <x:f>IF(A106="","",2*'Assumptions'!$B$4*ASIN(SQRT(SIN(RADIANS(F106-I106)/2)^2+COS(RADIANS(F106))*COS(RADIANS(I106))*SIN(RADIANS(G106-J106)/2)^2)))</x:f>
      </x:c>
      <x:c r="M106" s="23" t="str">
        <x:f>IF(A106="","",SQRT(L106^2+((H106*0.3048-K106)/1000)^2))</x:f>
      </x:c>
      <x:c r="N106" s="23" t="str">
        <x:f>IF(A106="","",32.45+20*LOG112(MAX(M106,0.001))+20*LOG112(E106))</x:f>
      </x:c>
      <x:c r="O106" s="23" t="str">
        <x:f>IF(A106="","",'Assumptions'!$B$8*(SQRT(MAX(H106*0.3048,0))+SQRT(MAX(K106,0))))</x:f>
      </x:c>
      <x:c r="P106" s="22" t="str">
        <x:f>IF(A106="","",IF(L106&lt;=O106,"Yes","No"))</x:f>
      </x:c>
      <x:c r="Q106" s="24" t="str">
        <x:f>IF(A106="","",100*('Assumptions'!$B$6-N106)/('Assumptions'!$B$6-'Assumptions'!$B$5))</x:f>
      </x:c>
      <x:c r="R106" s="24" t="str">
        <x:f>IF(A106="","",MAX(0,MIN(100,Q106-IF(P106="No",'Assumptions'!$B$7,0))))</x:f>
      </x:c>
      <x:c r="S106" s="15" t="str">
        <x:f>IF(A106="","",IF(R106&gt;=80,"Strong",IF(R106&gt;=50,"Moderate","Weak")))</x:f>
      </x:c>
      <x:c r="T106" s="29" t="str">
        <x:f>IF(A106="","","Relative prototype score; not measured dBm")</x:f>
      </x:c>
    </x:row>
    <x:row r="107">
      <x:c r="A107" s="30"/>
      <x:c r="B107" s="15"/>
      <x:c r="C107" s="15"/>
      <x:c r="D107" s="15"/>
      <x:c r="E107" s="15"/>
      <x:c r="F107" s="15"/>
      <x:c r="G107" s="15"/>
      <x:c r="H107" s="15"/>
      <x:c r="I107" s="15"/>
      <x:c r="J107" s="15"/>
      <x:c r="K107" s="15"/>
      <x:c r="L107" s="23" t="str">
        <x:f>IF(A107="","",2*'Assumptions'!$B$4*ASIN(SQRT(SIN(RADIANS(F107-I107)/2)^2+COS(RADIANS(F107))*COS(RADIANS(I107))*SIN(RADIANS(G107-J107)/2)^2)))</x:f>
      </x:c>
      <x:c r="M107" s="23" t="str">
        <x:f>IF(A107="","",SQRT(L107^2+((H107*0.3048-K107)/1000)^2))</x:f>
      </x:c>
      <x:c r="N107" s="23" t="str">
        <x:f>IF(A107="","",32.45+20*LOG113(MAX(M107,0.001))+20*LOG113(E107))</x:f>
      </x:c>
      <x:c r="O107" s="23" t="str">
        <x:f>IF(A107="","",'Assumptions'!$B$8*(SQRT(MAX(H107*0.3048,0))+SQRT(MAX(K107,0))))</x:f>
      </x:c>
      <x:c r="P107" s="22" t="str">
        <x:f>IF(A107="","",IF(L107&lt;=O107,"Yes","No"))</x:f>
      </x:c>
      <x:c r="Q107" s="24" t="str">
        <x:f>IF(A107="","",100*('Assumptions'!$B$6-N107)/('Assumptions'!$B$6-'Assumptions'!$B$5))</x:f>
      </x:c>
      <x:c r="R107" s="24" t="str">
        <x:f>IF(A107="","",MAX(0,MIN(100,Q107-IF(P107="No",'Assumptions'!$B$7,0))))</x:f>
      </x:c>
      <x:c r="S107" s="15" t="str">
        <x:f>IF(A107="","",IF(R107&gt;=80,"Strong",IF(R107&gt;=50,"Moderate","Weak")))</x:f>
      </x:c>
      <x:c r="T107" s="29" t="str">
        <x:f>IF(A107="","","Relative prototype score; not measured dBm")</x:f>
      </x:c>
    </x:row>
    <x:row r="108">
      <x:c r="A108" s="30"/>
      <x:c r="B108" s="15"/>
      <x:c r="C108" s="15"/>
      <x:c r="D108" s="15"/>
      <x:c r="E108" s="15"/>
      <x:c r="F108" s="15"/>
      <x:c r="G108" s="15"/>
      <x:c r="H108" s="15"/>
      <x:c r="I108" s="15"/>
      <x:c r="J108" s="15"/>
      <x:c r="K108" s="15"/>
      <x:c r="L108" s="23" t="str">
        <x:f>IF(A108="","",2*'Assumptions'!$B$4*ASIN(SQRT(SIN(RADIANS(F108-I108)/2)^2+COS(RADIANS(F108))*COS(RADIANS(I108))*SIN(RADIANS(G108-J108)/2)^2)))</x:f>
      </x:c>
      <x:c r="M108" s="23" t="str">
        <x:f>IF(A108="","",SQRT(L108^2+((H108*0.3048-K108)/1000)^2))</x:f>
      </x:c>
      <x:c r="N108" s="23" t="str">
        <x:f>IF(A108="","",32.45+20*LOG114(MAX(M108,0.001))+20*LOG114(E108))</x:f>
      </x:c>
      <x:c r="O108" s="23" t="str">
        <x:f>IF(A108="","",'Assumptions'!$B$8*(SQRT(MAX(H108*0.3048,0))+SQRT(MAX(K108,0))))</x:f>
      </x:c>
      <x:c r="P108" s="22" t="str">
        <x:f>IF(A108="","",IF(L108&lt;=O108,"Yes","No"))</x:f>
      </x:c>
      <x:c r="Q108" s="24" t="str">
        <x:f>IF(A108="","",100*('Assumptions'!$B$6-N108)/('Assumptions'!$B$6-'Assumptions'!$B$5))</x:f>
      </x:c>
      <x:c r="R108" s="24" t="str">
        <x:f>IF(A108="","",MAX(0,MIN(100,Q108-IF(P108="No",'Assumptions'!$B$7,0))))</x:f>
      </x:c>
      <x:c r="S108" s="15" t="str">
        <x:f>IF(A108="","",IF(R108&gt;=80,"Strong",IF(R108&gt;=50,"Moderate","Weak")))</x:f>
      </x:c>
      <x:c r="T108" s="29" t="str">
        <x:f>IF(A108="","","Relative prototype score; not measured dBm")</x:f>
      </x:c>
    </x:row>
    <x:row r="109">
      <x:c r="A109" s="30"/>
      <x:c r="B109" s="15"/>
      <x:c r="C109" s="15"/>
      <x:c r="D109" s="15"/>
      <x:c r="E109" s="15"/>
      <x:c r="F109" s="15"/>
      <x:c r="G109" s="15"/>
      <x:c r="H109" s="15"/>
      <x:c r="I109" s="15"/>
      <x:c r="J109" s="15"/>
      <x:c r="K109" s="15"/>
      <x:c r="L109" s="23" t="str">
        <x:f>IF(A109="","",2*'Assumptions'!$B$4*ASIN(SQRT(SIN(RADIANS(F109-I109)/2)^2+COS(RADIANS(F109))*COS(RADIANS(I109))*SIN(RADIANS(G109-J109)/2)^2)))</x:f>
      </x:c>
      <x:c r="M109" s="23" t="str">
        <x:f>IF(A109="","",SQRT(L109^2+((H109*0.3048-K109)/1000)^2))</x:f>
      </x:c>
      <x:c r="N109" s="23" t="str">
        <x:f>IF(A109="","",32.45+20*LOG115(MAX(M109,0.001))+20*LOG115(E109))</x:f>
      </x:c>
      <x:c r="O109" s="23" t="str">
        <x:f>IF(A109="","",'Assumptions'!$B$8*(SQRT(MAX(H109*0.3048,0))+SQRT(MAX(K109,0))))</x:f>
      </x:c>
      <x:c r="P109" s="22" t="str">
        <x:f>IF(A109="","",IF(L109&lt;=O109,"Yes","No"))</x:f>
      </x:c>
      <x:c r="Q109" s="24" t="str">
        <x:f>IF(A109="","",100*('Assumptions'!$B$6-N109)/('Assumptions'!$B$6-'Assumptions'!$B$5))</x:f>
      </x:c>
      <x:c r="R109" s="24" t="str">
        <x:f>IF(A109="","",MAX(0,MIN(100,Q109-IF(P109="No",'Assumptions'!$B$7,0))))</x:f>
      </x:c>
      <x:c r="S109" s="15" t="str">
        <x:f>IF(A109="","",IF(R109&gt;=80,"Strong",IF(R109&gt;=50,"Moderate","Weak")))</x:f>
      </x:c>
      <x:c r="T109" s="29" t="str">
        <x:f>IF(A109="","","Relative prototype score; not measured dBm")</x:f>
      </x:c>
    </x:row>
    <x:row r="110">
      <x:c r="A110" s="30"/>
      <x:c r="B110" s="15"/>
      <x:c r="C110" s="15"/>
      <x:c r="D110" s="15"/>
      <x:c r="E110" s="15"/>
      <x:c r="F110" s="15"/>
      <x:c r="G110" s="15"/>
      <x:c r="H110" s="15"/>
      <x:c r="I110" s="15"/>
      <x:c r="J110" s="15"/>
      <x:c r="K110" s="15"/>
      <x:c r="L110" s="23" t="str">
        <x:f>IF(A110="","",2*'Assumptions'!$B$4*ASIN(SQRT(SIN(RADIANS(F110-I110)/2)^2+COS(RADIANS(F110))*COS(RADIANS(I110))*SIN(RADIANS(G110-J110)/2)^2)))</x:f>
      </x:c>
      <x:c r="M110" s="23" t="str">
        <x:f>IF(A110="","",SQRT(L110^2+((H110*0.3048-K110)/1000)^2))</x:f>
      </x:c>
      <x:c r="N110" s="23" t="str">
        <x:f>IF(A110="","",32.45+20*LOG116(MAX(M110,0.001))+20*LOG116(E110))</x:f>
      </x:c>
      <x:c r="O110" s="23" t="str">
        <x:f>IF(A110="","",'Assumptions'!$B$8*(SQRT(MAX(H110*0.3048,0))+SQRT(MAX(K110,0))))</x:f>
      </x:c>
      <x:c r="P110" s="22" t="str">
        <x:f>IF(A110="","",IF(L110&lt;=O110,"Yes","No"))</x:f>
      </x:c>
      <x:c r="Q110" s="24" t="str">
        <x:f>IF(A110="","",100*('Assumptions'!$B$6-N110)/('Assumptions'!$B$6-'Assumptions'!$B$5))</x:f>
      </x:c>
      <x:c r="R110" s="24" t="str">
        <x:f>IF(A110="","",MAX(0,MIN(100,Q110-IF(P110="No",'Assumptions'!$B$7,0))))</x:f>
      </x:c>
      <x:c r="S110" s="15" t="str">
        <x:f>IF(A110="","",IF(R110&gt;=80,"Strong",IF(R110&gt;=50,"Moderate","Weak")))</x:f>
      </x:c>
      <x:c r="T110" s="29" t="str">
        <x:f>IF(A110="","","Relative prototype score; not measured dBm")</x:f>
      </x:c>
    </x:row>
    <x:row r="111">
      <x:c r="A111" s="30"/>
      <x:c r="B111" s="15"/>
      <x:c r="C111" s="15"/>
      <x:c r="D111" s="15"/>
      <x:c r="E111" s="15"/>
      <x:c r="F111" s="15"/>
      <x:c r="G111" s="15"/>
      <x:c r="H111" s="15"/>
      <x:c r="I111" s="15"/>
      <x:c r="J111" s="15"/>
      <x:c r="K111" s="15"/>
      <x:c r="L111" s="23" t="str">
        <x:f>IF(A111="","",2*'Assumptions'!$B$4*ASIN(SQRT(SIN(RADIANS(F111-I111)/2)^2+COS(RADIANS(F111))*COS(RADIANS(I111))*SIN(RADIANS(G111-J111)/2)^2)))</x:f>
      </x:c>
      <x:c r="M111" s="23" t="str">
        <x:f>IF(A111="","",SQRT(L111^2+((H111*0.3048-K111)/1000)^2))</x:f>
      </x:c>
      <x:c r="N111" s="23" t="str">
        <x:f>IF(A111="","",32.45+20*LOG117(MAX(M111,0.001))+20*LOG117(E111))</x:f>
      </x:c>
      <x:c r="O111" s="23" t="str">
        <x:f>IF(A111="","",'Assumptions'!$B$8*(SQRT(MAX(H111*0.3048,0))+SQRT(MAX(K111,0))))</x:f>
      </x:c>
      <x:c r="P111" s="22" t="str">
        <x:f>IF(A111="","",IF(L111&lt;=O111,"Yes","No"))</x:f>
      </x:c>
      <x:c r="Q111" s="24" t="str">
        <x:f>IF(A111="","",100*('Assumptions'!$B$6-N111)/('Assumptions'!$B$6-'Assumptions'!$B$5))</x:f>
      </x:c>
      <x:c r="R111" s="24" t="str">
        <x:f>IF(A111="","",MAX(0,MIN(100,Q111-IF(P111="No",'Assumptions'!$B$7,0))))</x:f>
      </x:c>
      <x:c r="S111" s="15" t="str">
        <x:f>IF(A111="","",IF(R111&gt;=80,"Strong",IF(R111&gt;=50,"Moderate","Weak")))</x:f>
      </x:c>
      <x:c r="T111" s="29" t="str">
        <x:f>IF(A111="","","Relative prototype score; not measured dBm")</x:f>
      </x:c>
    </x:row>
    <x:row r="112">
      <x:c r="A112" s="30"/>
      <x:c r="B112" s="15"/>
      <x:c r="C112" s="15"/>
      <x:c r="D112" s="15"/>
      <x:c r="E112" s="15"/>
      <x:c r="F112" s="15"/>
      <x:c r="G112" s="15"/>
      <x:c r="H112" s="15"/>
      <x:c r="I112" s="15"/>
      <x:c r="J112" s="15"/>
      <x:c r="K112" s="15"/>
      <x:c r="L112" s="23" t="str">
        <x:f>IF(A112="","",2*'Assumptions'!$B$4*ASIN(SQRT(SIN(RADIANS(F112-I112)/2)^2+COS(RADIANS(F112))*COS(RADIANS(I112))*SIN(RADIANS(G112-J112)/2)^2)))</x:f>
      </x:c>
      <x:c r="M112" s="23" t="str">
        <x:f>IF(A112="","",SQRT(L112^2+((H112*0.3048-K112)/1000)^2))</x:f>
      </x:c>
      <x:c r="N112" s="23" t="str">
        <x:f>IF(A112="","",32.45+20*LOG118(MAX(M112,0.001))+20*LOG118(E112))</x:f>
      </x:c>
      <x:c r="O112" s="23" t="str">
        <x:f>IF(A112="","",'Assumptions'!$B$8*(SQRT(MAX(H112*0.3048,0))+SQRT(MAX(K112,0))))</x:f>
      </x:c>
      <x:c r="P112" s="22" t="str">
        <x:f>IF(A112="","",IF(L112&lt;=O112,"Yes","No"))</x:f>
      </x:c>
      <x:c r="Q112" s="24" t="str">
        <x:f>IF(A112="","",100*('Assumptions'!$B$6-N112)/('Assumptions'!$B$6-'Assumptions'!$B$5))</x:f>
      </x:c>
      <x:c r="R112" s="24" t="str">
        <x:f>IF(A112="","",MAX(0,MIN(100,Q112-IF(P112="No",'Assumptions'!$B$7,0))))</x:f>
      </x:c>
      <x:c r="S112" s="15" t="str">
        <x:f>IF(A112="","",IF(R112&gt;=80,"Strong",IF(R112&gt;=50,"Moderate","Weak")))</x:f>
      </x:c>
      <x:c r="T112" s="29" t="str">
        <x:f>IF(A112="","","Relative prototype score; not measured dBm")</x:f>
      </x:c>
    </x:row>
    <x:row r="113">
      <x:c r="A113" s="30"/>
      <x:c r="B113" s="15"/>
      <x:c r="C113" s="15"/>
      <x:c r="D113" s="15"/>
      <x:c r="E113" s="15"/>
      <x:c r="F113" s="15"/>
      <x:c r="G113" s="15"/>
      <x:c r="H113" s="15"/>
      <x:c r="I113" s="15"/>
      <x:c r="J113" s="15"/>
      <x:c r="K113" s="15"/>
      <x:c r="L113" s="23" t="str">
        <x:f>IF(A113="","",2*'Assumptions'!$B$4*ASIN(SQRT(SIN(RADIANS(F113-I113)/2)^2+COS(RADIANS(F113))*COS(RADIANS(I113))*SIN(RADIANS(G113-J113)/2)^2)))</x:f>
      </x:c>
      <x:c r="M113" s="23" t="str">
        <x:f>IF(A113="","",SQRT(L113^2+((H113*0.3048-K113)/1000)^2))</x:f>
      </x:c>
      <x:c r="N113" s="23" t="str">
        <x:f>IF(A113="","",32.45+20*LOG119(MAX(M113,0.001))+20*LOG119(E113))</x:f>
      </x:c>
      <x:c r="O113" s="23" t="str">
        <x:f>IF(A113="","",'Assumptions'!$B$8*(SQRT(MAX(H113*0.3048,0))+SQRT(MAX(K113,0))))</x:f>
      </x:c>
      <x:c r="P113" s="22" t="str">
        <x:f>IF(A113="","",IF(L113&lt;=O113,"Yes","No"))</x:f>
      </x:c>
      <x:c r="Q113" s="24" t="str">
        <x:f>IF(A113="","",100*('Assumptions'!$B$6-N113)/('Assumptions'!$B$6-'Assumptions'!$B$5))</x:f>
      </x:c>
      <x:c r="R113" s="24" t="str">
        <x:f>IF(A113="","",MAX(0,MIN(100,Q113-IF(P113="No",'Assumptions'!$B$7,0))))</x:f>
      </x:c>
      <x:c r="S113" s="15" t="str">
        <x:f>IF(A113="","",IF(R113&gt;=80,"Strong",IF(R113&gt;=50,"Moderate","Weak")))</x:f>
      </x:c>
      <x:c r="T113" s="29" t="str">
        <x:f>IF(A113="","","Relative prototype score; not measured dBm")</x:f>
      </x:c>
    </x:row>
    <x:row r="114">
      <x:c r="A114" s="30"/>
      <x:c r="B114" s="15"/>
      <x:c r="C114" s="15"/>
      <x:c r="D114" s="15"/>
      <x:c r="E114" s="15"/>
      <x:c r="F114" s="15"/>
      <x:c r="G114" s="15"/>
      <x:c r="H114" s="15"/>
      <x:c r="I114" s="15"/>
      <x:c r="J114" s="15"/>
      <x:c r="K114" s="15"/>
      <x:c r="L114" s="23" t="str">
        <x:f>IF(A114="","",2*'Assumptions'!$B$4*ASIN(SQRT(SIN(RADIANS(F114-I114)/2)^2+COS(RADIANS(F114))*COS(RADIANS(I114))*SIN(RADIANS(G114-J114)/2)^2)))</x:f>
      </x:c>
      <x:c r="M114" s="23" t="str">
        <x:f>IF(A114="","",SQRT(L114^2+((H114*0.3048-K114)/1000)^2))</x:f>
      </x:c>
      <x:c r="N114" s="23" t="str">
        <x:f>IF(A114="","",32.45+20*LOG120(MAX(M114,0.001))+20*LOG120(E114))</x:f>
      </x:c>
      <x:c r="O114" s="23" t="str">
        <x:f>IF(A114="","",'Assumptions'!$B$8*(SQRT(MAX(H114*0.3048,0))+SQRT(MAX(K114,0))))</x:f>
      </x:c>
      <x:c r="P114" s="22" t="str">
        <x:f>IF(A114="","",IF(L114&lt;=O114,"Yes","No"))</x:f>
      </x:c>
      <x:c r="Q114" s="24" t="str">
        <x:f>IF(A114="","",100*('Assumptions'!$B$6-N114)/('Assumptions'!$B$6-'Assumptions'!$B$5))</x:f>
      </x:c>
      <x:c r="R114" s="24" t="str">
        <x:f>IF(A114="","",MAX(0,MIN(100,Q114-IF(P114="No",'Assumptions'!$B$7,0))))</x:f>
      </x:c>
      <x:c r="S114" s="15" t="str">
        <x:f>IF(A114="","",IF(R114&gt;=80,"Strong",IF(R114&gt;=50,"Moderate","Weak")))</x:f>
      </x:c>
      <x:c r="T114" s="29" t="str">
        <x:f>IF(A114="","","Relative prototype score; not measured dBm")</x:f>
      </x:c>
    </x:row>
    <x:row r="115">
      <x:c r="A115" s="30"/>
      <x:c r="B115" s="15"/>
      <x:c r="C115" s="15"/>
      <x:c r="D115" s="15"/>
      <x:c r="E115" s="15"/>
      <x:c r="F115" s="15"/>
      <x:c r="G115" s="15"/>
      <x:c r="H115" s="15"/>
      <x:c r="I115" s="15"/>
      <x:c r="J115" s="15"/>
      <x:c r="K115" s="15"/>
      <x:c r="L115" s="23" t="str">
        <x:f>IF(A115="","",2*'Assumptions'!$B$4*ASIN(SQRT(SIN(RADIANS(F115-I115)/2)^2+COS(RADIANS(F115))*COS(RADIANS(I115))*SIN(RADIANS(G115-J115)/2)^2)))</x:f>
      </x:c>
      <x:c r="M115" s="23" t="str">
        <x:f>IF(A115="","",SQRT(L115^2+((H115*0.3048-K115)/1000)^2))</x:f>
      </x:c>
      <x:c r="N115" s="23" t="str">
        <x:f>IF(A115="","",32.45+20*LOG121(MAX(M115,0.001))+20*LOG121(E115))</x:f>
      </x:c>
      <x:c r="O115" s="23" t="str">
        <x:f>IF(A115="","",'Assumptions'!$B$8*(SQRT(MAX(H115*0.3048,0))+SQRT(MAX(K115,0))))</x:f>
      </x:c>
      <x:c r="P115" s="22" t="str">
        <x:f>IF(A115="","",IF(L115&lt;=O115,"Yes","No"))</x:f>
      </x:c>
      <x:c r="Q115" s="24" t="str">
        <x:f>IF(A115="","",100*('Assumptions'!$B$6-N115)/('Assumptions'!$B$6-'Assumptions'!$B$5))</x:f>
      </x:c>
      <x:c r="R115" s="24" t="str">
        <x:f>IF(A115="","",MAX(0,MIN(100,Q115-IF(P115="No",'Assumptions'!$B$7,0))))</x:f>
      </x:c>
      <x:c r="S115" s="15" t="str">
        <x:f>IF(A115="","",IF(R115&gt;=80,"Strong",IF(R115&gt;=50,"Moderate","Weak")))</x:f>
      </x:c>
      <x:c r="T115" s="29" t="str">
        <x:f>IF(A115="","","Relative prototype score; not measured dBm")</x:f>
      </x:c>
    </x:row>
    <x:row r="116">
      <x:c r="A116" s="30"/>
      <x:c r="B116" s="15"/>
      <x:c r="C116" s="15"/>
      <x:c r="D116" s="15"/>
      <x:c r="E116" s="15"/>
      <x:c r="F116" s="15"/>
      <x:c r="G116" s="15"/>
      <x:c r="H116" s="15"/>
      <x:c r="I116" s="15"/>
      <x:c r="J116" s="15"/>
      <x:c r="K116" s="15"/>
      <x:c r="L116" s="23" t="str">
        <x:f>IF(A116="","",2*'Assumptions'!$B$4*ASIN(SQRT(SIN(RADIANS(F116-I116)/2)^2+COS(RADIANS(F116))*COS(RADIANS(I116))*SIN(RADIANS(G116-J116)/2)^2)))</x:f>
      </x:c>
      <x:c r="M116" s="23" t="str">
        <x:f>IF(A116="","",SQRT(L116^2+((H116*0.3048-K116)/1000)^2))</x:f>
      </x:c>
      <x:c r="N116" s="23" t="str">
        <x:f>IF(A116="","",32.45+20*LOG122(MAX(M116,0.001))+20*LOG122(E116))</x:f>
      </x:c>
      <x:c r="O116" s="23" t="str">
        <x:f>IF(A116="","",'Assumptions'!$B$8*(SQRT(MAX(H116*0.3048,0))+SQRT(MAX(K116,0))))</x:f>
      </x:c>
      <x:c r="P116" s="22" t="str">
        <x:f>IF(A116="","",IF(L116&lt;=O116,"Yes","No"))</x:f>
      </x:c>
      <x:c r="Q116" s="24" t="str">
        <x:f>IF(A116="","",100*('Assumptions'!$B$6-N116)/('Assumptions'!$B$6-'Assumptions'!$B$5))</x:f>
      </x:c>
      <x:c r="R116" s="24" t="str">
        <x:f>IF(A116="","",MAX(0,MIN(100,Q116-IF(P116="No",'Assumptions'!$B$7,0))))</x:f>
      </x:c>
      <x:c r="S116" s="15" t="str">
        <x:f>IF(A116="","",IF(R116&gt;=80,"Strong",IF(R116&gt;=50,"Moderate","Weak")))</x:f>
      </x:c>
      <x:c r="T116" s="29" t="str">
        <x:f>IF(A116="","","Relative prototype score; not measured dBm")</x:f>
      </x:c>
    </x:row>
    <x:row r="117">
      <x:c r="A117" s="30"/>
      <x:c r="B117" s="15"/>
      <x:c r="C117" s="15"/>
      <x:c r="D117" s="15"/>
      <x:c r="E117" s="15"/>
      <x:c r="F117" s="15"/>
      <x:c r="G117" s="15"/>
      <x:c r="H117" s="15"/>
      <x:c r="I117" s="15"/>
      <x:c r="J117" s="15"/>
      <x:c r="K117" s="15"/>
      <x:c r="L117" s="23" t="str">
        <x:f>IF(A117="","",2*'Assumptions'!$B$4*ASIN(SQRT(SIN(RADIANS(F117-I117)/2)^2+COS(RADIANS(F117))*COS(RADIANS(I117))*SIN(RADIANS(G117-J117)/2)^2)))</x:f>
      </x:c>
      <x:c r="M117" s="23" t="str">
        <x:f>IF(A117="","",SQRT(L117^2+((H117*0.3048-K117)/1000)^2))</x:f>
      </x:c>
      <x:c r="N117" s="23" t="str">
        <x:f>IF(A117="","",32.45+20*LOG123(MAX(M117,0.001))+20*LOG123(E117))</x:f>
      </x:c>
      <x:c r="O117" s="23" t="str">
        <x:f>IF(A117="","",'Assumptions'!$B$8*(SQRT(MAX(H117*0.3048,0))+SQRT(MAX(K117,0))))</x:f>
      </x:c>
      <x:c r="P117" s="22" t="str">
        <x:f>IF(A117="","",IF(L117&lt;=O117,"Yes","No"))</x:f>
      </x:c>
      <x:c r="Q117" s="24" t="str">
        <x:f>IF(A117="","",100*('Assumptions'!$B$6-N117)/('Assumptions'!$B$6-'Assumptions'!$B$5))</x:f>
      </x:c>
      <x:c r="R117" s="24" t="str">
        <x:f>IF(A117="","",MAX(0,MIN(100,Q117-IF(P117="No",'Assumptions'!$B$7,0))))</x:f>
      </x:c>
      <x:c r="S117" s="15" t="str">
        <x:f>IF(A117="","",IF(R117&gt;=80,"Strong",IF(R117&gt;=50,"Moderate","Weak")))</x:f>
      </x:c>
      <x:c r="T117" s="29" t="str">
        <x:f>IF(A117="","","Relative prototype score; not measured dBm")</x:f>
      </x:c>
    </x:row>
    <x:row r="118">
      <x:c r="A118" s="30"/>
      <x:c r="B118" s="15"/>
      <x:c r="C118" s="15"/>
      <x:c r="D118" s="15"/>
      <x:c r="E118" s="15"/>
      <x:c r="F118" s="15"/>
      <x:c r="G118" s="15"/>
      <x:c r="H118" s="15"/>
      <x:c r="I118" s="15"/>
      <x:c r="J118" s="15"/>
      <x:c r="K118" s="15"/>
      <x:c r="L118" s="23" t="str">
        <x:f>IF(A118="","",2*'Assumptions'!$B$4*ASIN(SQRT(SIN(RADIANS(F118-I118)/2)^2+COS(RADIANS(F118))*COS(RADIANS(I118))*SIN(RADIANS(G118-J118)/2)^2)))</x:f>
      </x:c>
      <x:c r="M118" s="23" t="str">
        <x:f>IF(A118="","",SQRT(L118^2+((H118*0.3048-K118)/1000)^2))</x:f>
      </x:c>
      <x:c r="N118" s="23" t="str">
        <x:f>IF(A118="","",32.45+20*LOG124(MAX(M118,0.001))+20*LOG124(E118))</x:f>
      </x:c>
      <x:c r="O118" s="23" t="str">
        <x:f>IF(A118="","",'Assumptions'!$B$8*(SQRT(MAX(H118*0.3048,0))+SQRT(MAX(K118,0))))</x:f>
      </x:c>
      <x:c r="P118" s="22" t="str">
        <x:f>IF(A118="","",IF(L118&lt;=O118,"Yes","No"))</x:f>
      </x:c>
      <x:c r="Q118" s="24" t="str">
        <x:f>IF(A118="","",100*('Assumptions'!$B$6-N118)/('Assumptions'!$B$6-'Assumptions'!$B$5))</x:f>
      </x:c>
      <x:c r="R118" s="24" t="str">
        <x:f>IF(A118="","",MAX(0,MIN(100,Q118-IF(P118="No",'Assumptions'!$B$7,0))))</x:f>
      </x:c>
      <x:c r="S118" s="15" t="str">
        <x:f>IF(A118="","",IF(R118&gt;=80,"Strong",IF(R118&gt;=50,"Moderate","Weak")))</x:f>
      </x:c>
      <x:c r="T118" s="29" t="str">
        <x:f>IF(A118="","","Relative prototype score; not measured dBm")</x:f>
      </x:c>
    </x:row>
    <x:row r="119">
      <x:c r="A119" s="30"/>
      <x:c r="B119" s="15"/>
      <x:c r="C119" s="15"/>
      <x:c r="D119" s="15"/>
      <x:c r="E119" s="15"/>
      <x:c r="F119" s="15"/>
      <x:c r="G119" s="15"/>
      <x:c r="H119" s="15"/>
      <x:c r="I119" s="15"/>
      <x:c r="J119" s="15"/>
      <x:c r="K119" s="15"/>
      <x:c r="L119" s="23" t="str">
        <x:f>IF(A119="","",2*'Assumptions'!$B$4*ASIN(SQRT(SIN(RADIANS(F119-I119)/2)^2+COS(RADIANS(F119))*COS(RADIANS(I119))*SIN(RADIANS(G119-J119)/2)^2)))</x:f>
      </x:c>
      <x:c r="M119" s="23" t="str">
        <x:f>IF(A119="","",SQRT(L119^2+((H119*0.3048-K119)/1000)^2))</x:f>
      </x:c>
      <x:c r="N119" s="23" t="str">
        <x:f>IF(A119="","",32.45+20*LOG125(MAX(M119,0.001))+20*LOG125(E119))</x:f>
      </x:c>
      <x:c r="O119" s="23" t="str">
        <x:f>IF(A119="","",'Assumptions'!$B$8*(SQRT(MAX(H119*0.3048,0))+SQRT(MAX(K119,0))))</x:f>
      </x:c>
      <x:c r="P119" s="22" t="str">
        <x:f>IF(A119="","",IF(L119&lt;=O119,"Yes","No"))</x:f>
      </x:c>
      <x:c r="Q119" s="24" t="str">
        <x:f>IF(A119="","",100*('Assumptions'!$B$6-N119)/('Assumptions'!$B$6-'Assumptions'!$B$5))</x:f>
      </x:c>
      <x:c r="R119" s="24" t="str">
        <x:f>IF(A119="","",MAX(0,MIN(100,Q119-IF(P119="No",'Assumptions'!$B$7,0))))</x:f>
      </x:c>
      <x:c r="S119" s="15" t="str">
        <x:f>IF(A119="","",IF(R119&gt;=80,"Strong",IF(R119&gt;=50,"Moderate","Weak")))</x:f>
      </x:c>
      <x:c r="T119" s="29" t="str">
        <x:f>IF(A119="","","Relative prototype score; not measured dBm")</x:f>
      </x:c>
    </x:row>
    <x:row r="120">
      <x:c r="A120" s="30"/>
      <x:c r="B120" s="15"/>
      <x:c r="C120" s="15"/>
      <x:c r="D120" s="15"/>
      <x:c r="E120" s="15"/>
      <x:c r="F120" s="15"/>
      <x:c r="G120" s="15"/>
      <x:c r="H120" s="15"/>
      <x:c r="I120" s="15"/>
      <x:c r="J120" s="15"/>
      <x:c r="K120" s="15"/>
      <x:c r="L120" s="23" t="str">
        <x:f>IF(A120="","",2*'Assumptions'!$B$4*ASIN(SQRT(SIN(RADIANS(F120-I120)/2)^2+COS(RADIANS(F120))*COS(RADIANS(I120))*SIN(RADIANS(G120-J120)/2)^2)))</x:f>
      </x:c>
      <x:c r="M120" s="23" t="str">
        <x:f>IF(A120="","",SQRT(L120^2+((H120*0.3048-K120)/1000)^2))</x:f>
      </x:c>
      <x:c r="N120" s="23" t="str">
        <x:f>IF(A120="","",32.45+20*LOG126(MAX(M120,0.001))+20*LOG126(E120))</x:f>
      </x:c>
      <x:c r="O120" s="23" t="str">
        <x:f>IF(A120="","",'Assumptions'!$B$8*(SQRT(MAX(H120*0.3048,0))+SQRT(MAX(K120,0))))</x:f>
      </x:c>
      <x:c r="P120" s="22" t="str">
        <x:f>IF(A120="","",IF(L120&lt;=O120,"Yes","No"))</x:f>
      </x:c>
      <x:c r="Q120" s="24" t="str">
        <x:f>IF(A120="","",100*('Assumptions'!$B$6-N120)/('Assumptions'!$B$6-'Assumptions'!$B$5))</x:f>
      </x:c>
      <x:c r="R120" s="24" t="str">
        <x:f>IF(A120="","",MAX(0,MIN(100,Q120-IF(P120="No",'Assumptions'!$B$7,0))))</x:f>
      </x:c>
      <x:c r="S120" s="15" t="str">
        <x:f>IF(A120="","",IF(R120&gt;=80,"Strong",IF(R120&gt;=50,"Moderate","Weak")))</x:f>
      </x:c>
      <x:c r="T120" s="29" t="str">
        <x:f>IF(A120="","","Relative prototype score; not measured dBm")</x:f>
      </x:c>
    </x:row>
    <x:row r="121">
      <x:c r="A121" s="30"/>
      <x:c r="B121" s="15"/>
      <x:c r="C121" s="15"/>
      <x:c r="D121" s="15"/>
      <x:c r="E121" s="15"/>
      <x:c r="F121" s="15"/>
      <x:c r="G121" s="15"/>
      <x:c r="H121" s="15"/>
      <x:c r="I121" s="15"/>
      <x:c r="J121" s="15"/>
      <x:c r="K121" s="15"/>
      <x:c r="L121" s="23" t="str">
        <x:f>IF(A121="","",2*'Assumptions'!$B$4*ASIN(SQRT(SIN(RADIANS(F121-I121)/2)^2+COS(RADIANS(F121))*COS(RADIANS(I121))*SIN(RADIANS(G121-J121)/2)^2)))</x:f>
      </x:c>
      <x:c r="M121" s="23" t="str">
        <x:f>IF(A121="","",SQRT(L121^2+((H121*0.3048-K121)/1000)^2))</x:f>
      </x:c>
      <x:c r="N121" s="23" t="str">
        <x:f>IF(A121="","",32.45+20*LOG127(MAX(M121,0.001))+20*LOG127(E121))</x:f>
      </x:c>
      <x:c r="O121" s="23" t="str">
        <x:f>IF(A121="","",'Assumptions'!$B$8*(SQRT(MAX(H121*0.3048,0))+SQRT(MAX(K121,0))))</x:f>
      </x:c>
      <x:c r="P121" s="22" t="str">
        <x:f>IF(A121="","",IF(L121&lt;=O121,"Yes","No"))</x:f>
      </x:c>
      <x:c r="Q121" s="24" t="str">
        <x:f>IF(A121="","",100*('Assumptions'!$B$6-N121)/('Assumptions'!$B$6-'Assumptions'!$B$5))</x:f>
      </x:c>
      <x:c r="R121" s="24" t="str">
        <x:f>IF(A121="","",MAX(0,MIN(100,Q121-IF(P121="No",'Assumptions'!$B$7,0))))</x:f>
      </x:c>
      <x:c r="S121" s="15" t="str">
        <x:f>IF(A121="","",IF(R121&gt;=80,"Strong",IF(R121&gt;=50,"Moderate","Weak")))</x:f>
      </x:c>
      <x:c r="T121" s="29" t="str">
        <x:f>IF(A121="","","Relative prototype score; not measured dBm")</x:f>
      </x:c>
    </x:row>
    <x:row r="122">
      <x:c r="A122" s="30"/>
      <x:c r="B122" s="15"/>
      <x:c r="C122" s="15"/>
      <x:c r="D122" s="15"/>
      <x:c r="E122" s="15"/>
      <x:c r="F122" s="15"/>
      <x:c r="G122" s="15"/>
      <x:c r="H122" s="15"/>
      <x:c r="I122" s="15"/>
      <x:c r="J122" s="15"/>
      <x:c r="K122" s="15"/>
      <x:c r="L122" s="23" t="str">
        <x:f>IF(A122="","",2*'Assumptions'!$B$4*ASIN(SQRT(SIN(RADIANS(F122-I122)/2)^2+COS(RADIANS(F122))*COS(RADIANS(I122))*SIN(RADIANS(G122-J122)/2)^2)))</x:f>
      </x:c>
      <x:c r="M122" s="23" t="str">
        <x:f>IF(A122="","",SQRT(L122^2+((H122*0.3048-K122)/1000)^2))</x:f>
      </x:c>
      <x:c r="N122" s="23" t="str">
        <x:f>IF(A122="","",32.45+20*LOG128(MAX(M122,0.001))+20*LOG128(E122))</x:f>
      </x:c>
      <x:c r="O122" s="23" t="str">
        <x:f>IF(A122="","",'Assumptions'!$B$8*(SQRT(MAX(H122*0.3048,0))+SQRT(MAX(K122,0))))</x:f>
      </x:c>
      <x:c r="P122" s="22" t="str">
        <x:f>IF(A122="","",IF(L122&lt;=O122,"Yes","No"))</x:f>
      </x:c>
      <x:c r="Q122" s="24" t="str">
        <x:f>IF(A122="","",100*('Assumptions'!$B$6-N122)/('Assumptions'!$B$6-'Assumptions'!$B$5))</x:f>
      </x:c>
      <x:c r="R122" s="24" t="str">
        <x:f>IF(A122="","",MAX(0,MIN(100,Q122-IF(P122="No",'Assumptions'!$B$7,0))))</x:f>
      </x:c>
      <x:c r="S122" s="15" t="str">
        <x:f>IF(A122="","",IF(R122&gt;=80,"Strong",IF(R122&gt;=50,"Moderate","Weak")))</x:f>
      </x:c>
      <x:c r="T122" s="29" t="str">
        <x:f>IF(A122="","","Relative prototype score; not measured dBm")</x:f>
      </x:c>
    </x:row>
    <x:row r="123">
      <x:c r="A123" s="30"/>
      <x:c r="B123" s="15"/>
      <x:c r="C123" s="15"/>
      <x:c r="D123" s="15"/>
      <x:c r="E123" s="15"/>
      <x:c r="F123" s="15"/>
      <x:c r="G123" s="15"/>
      <x:c r="H123" s="15"/>
      <x:c r="I123" s="15"/>
      <x:c r="J123" s="15"/>
      <x:c r="K123" s="15"/>
      <x:c r="L123" s="23" t="str">
        <x:f>IF(A123="","",2*'Assumptions'!$B$4*ASIN(SQRT(SIN(RADIANS(F123-I123)/2)^2+COS(RADIANS(F123))*COS(RADIANS(I123))*SIN(RADIANS(G123-J123)/2)^2)))</x:f>
      </x:c>
      <x:c r="M123" s="23" t="str">
        <x:f>IF(A123="","",SQRT(L123^2+((H123*0.3048-K123)/1000)^2))</x:f>
      </x:c>
      <x:c r="N123" s="23" t="str">
        <x:f>IF(A123="","",32.45+20*LOG129(MAX(M123,0.001))+20*LOG129(E123))</x:f>
      </x:c>
      <x:c r="O123" s="23" t="str">
        <x:f>IF(A123="","",'Assumptions'!$B$8*(SQRT(MAX(H123*0.3048,0))+SQRT(MAX(K123,0))))</x:f>
      </x:c>
      <x:c r="P123" s="22" t="str">
        <x:f>IF(A123="","",IF(L123&lt;=O123,"Yes","No"))</x:f>
      </x:c>
      <x:c r="Q123" s="24" t="str">
        <x:f>IF(A123="","",100*('Assumptions'!$B$6-N123)/('Assumptions'!$B$6-'Assumptions'!$B$5))</x:f>
      </x:c>
      <x:c r="R123" s="24" t="str">
        <x:f>IF(A123="","",MAX(0,MIN(100,Q123-IF(P123="No",'Assumptions'!$B$7,0))))</x:f>
      </x:c>
      <x:c r="S123" s="15" t="str">
        <x:f>IF(A123="","",IF(R123&gt;=80,"Strong",IF(R123&gt;=50,"Moderate","Weak")))</x:f>
      </x:c>
      <x:c r="T123" s="29" t="str">
        <x:f>IF(A123="","","Relative prototype score; not measured dBm")</x:f>
      </x:c>
    </x:row>
    <x:row r="124">
      <x:c r="A124" s="30"/>
      <x:c r="B124" s="15"/>
      <x:c r="C124" s="15"/>
      <x:c r="D124" s="15"/>
      <x:c r="E124" s="15"/>
      <x:c r="F124" s="15"/>
      <x:c r="G124" s="15"/>
      <x:c r="H124" s="15"/>
      <x:c r="I124" s="15"/>
      <x:c r="J124" s="15"/>
      <x:c r="K124" s="15"/>
      <x:c r="L124" s="23" t="str">
        <x:f>IF(A124="","",2*'Assumptions'!$B$4*ASIN(SQRT(SIN(RADIANS(F124-I124)/2)^2+COS(RADIANS(F124))*COS(RADIANS(I124))*SIN(RADIANS(G124-J124)/2)^2)))</x:f>
      </x:c>
      <x:c r="M124" s="23" t="str">
        <x:f>IF(A124="","",SQRT(L124^2+((H124*0.3048-K124)/1000)^2))</x:f>
      </x:c>
      <x:c r="N124" s="23" t="str">
        <x:f>IF(A124="","",32.45+20*LOG130(MAX(M124,0.001))+20*LOG130(E124))</x:f>
      </x:c>
      <x:c r="O124" s="23" t="str">
        <x:f>IF(A124="","",'Assumptions'!$B$8*(SQRT(MAX(H124*0.3048,0))+SQRT(MAX(K124,0))))</x:f>
      </x:c>
      <x:c r="P124" s="22" t="str">
        <x:f>IF(A124="","",IF(L124&lt;=O124,"Yes","No"))</x:f>
      </x:c>
      <x:c r="Q124" s="24" t="str">
        <x:f>IF(A124="","",100*('Assumptions'!$B$6-N124)/('Assumptions'!$B$6-'Assumptions'!$B$5))</x:f>
      </x:c>
      <x:c r="R124" s="24" t="str">
        <x:f>IF(A124="","",MAX(0,MIN(100,Q124-IF(P124="No",'Assumptions'!$B$7,0))))</x:f>
      </x:c>
      <x:c r="S124" s="15" t="str">
        <x:f>IF(A124="","",IF(R124&gt;=80,"Strong",IF(R124&gt;=50,"Moderate","Weak")))</x:f>
      </x:c>
      <x:c r="T124" s="29" t="str">
        <x:f>IF(A124="","","Relative prototype score; not measured dBm")</x:f>
      </x:c>
    </x:row>
    <x:row r="125">
      <x:c r="A125" s="30"/>
      <x:c r="B125" s="15"/>
      <x:c r="C125" s="15"/>
      <x:c r="D125" s="15"/>
      <x:c r="E125" s="15"/>
      <x:c r="F125" s="15"/>
      <x:c r="G125" s="15"/>
      <x:c r="H125" s="15"/>
      <x:c r="I125" s="15"/>
      <x:c r="J125" s="15"/>
      <x:c r="K125" s="15"/>
      <x:c r="L125" s="23" t="str">
        <x:f>IF(A125="","",2*'Assumptions'!$B$4*ASIN(SQRT(SIN(RADIANS(F125-I125)/2)^2+COS(RADIANS(F125))*COS(RADIANS(I125))*SIN(RADIANS(G125-J125)/2)^2)))</x:f>
      </x:c>
      <x:c r="M125" s="23" t="str">
        <x:f>IF(A125="","",SQRT(L125^2+((H125*0.3048-K125)/1000)^2))</x:f>
      </x:c>
      <x:c r="N125" s="23" t="str">
        <x:f>IF(A125="","",32.45+20*LOG131(MAX(M125,0.001))+20*LOG131(E125))</x:f>
      </x:c>
      <x:c r="O125" s="23" t="str">
        <x:f>IF(A125="","",'Assumptions'!$B$8*(SQRT(MAX(H125*0.3048,0))+SQRT(MAX(K125,0))))</x:f>
      </x:c>
      <x:c r="P125" s="22" t="str">
        <x:f>IF(A125="","",IF(L125&lt;=O125,"Yes","No"))</x:f>
      </x:c>
      <x:c r="Q125" s="24" t="str">
        <x:f>IF(A125="","",100*('Assumptions'!$B$6-N125)/('Assumptions'!$B$6-'Assumptions'!$B$5))</x:f>
      </x:c>
      <x:c r="R125" s="24" t="str">
        <x:f>IF(A125="","",MAX(0,MIN(100,Q125-IF(P125="No",'Assumptions'!$B$7,0))))</x:f>
      </x:c>
      <x:c r="S125" s="15" t="str">
        <x:f>IF(A125="","",IF(R125&gt;=80,"Strong",IF(R125&gt;=50,"Moderate","Weak")))</x:f>
      </x:c>
      <x:c r="T125" s="29" t="str">
        <x:f>IF(A125="","","Relative prototype score; not measured dBm")</x:f>
      </x:c>
    </x:row>
    <x:row r="126">
      <x:c r="A126" s="30"/>
      <x:c r="B126" s="15"/>
      <x:c r="C126" s="15"/>
      <x:c r="D126" s="15"/>
      <x:c r="E126" s="15"/>
      <x:c r="F126" s="15"/>
      <x:c r="G126" s="15"/>
      <x:c r="H126" s="15"/>
      <x:c r="I126" s="15"/>
      <x:c r="J126" s="15"/>
      <x:c r="K126" s="15"/>
      <x:c r="L126" s="23" t="str">
        <x:f>IF(A126="","",2*'Assumptions'!$B$4*ASIN(SQRT(SIN(RADIANS(F126-I126)/2)^2+COS(RADIANS(F126))*COS(RADIANS(I126))*SIN(RADIANS(G126-J126)/2)^2)))</x:f>
      </x:c>
      <x:c r="M126" s="23" t="str">
        <x:f>IF(A126="","",SQRT(L126^2+((H126*0.3048-K126)/1000)^2))</x:f>
      </x:c>
      <x:c r="N126" s="23" t="str">
        <x:f>IF(A126="","",32.45+20*LOG132(MAX(M126,0.001))+20*LOG132(E126))</x:f>
      </x:c>
      <x:c r="O126" s="23" t="str">
        <x:f>IF(A126="","",'Assumptions'!$B$8*(SQRT(MAX(H126*0.3048,0))+SQRT(MAX(K126,0))))</x:f>
      </x:c>
      <x:c r="P126" s="22" t="str">
        <x:f>IF(A126="","",IF(L126&lt;=O126,"Yes","No"))</x:f>
      </x:c>
      <x:c r="Q126" s="24" t="str">
        <x:f>IF(A126="","",100*('Assumptions'!$B$6-N126)/('Assumptions'!$B$6-'Assumptions'!$B$5))</x:f>
      </x:c>
      <x:c r="R126" s="24" t="str">
        <x:f>IF(A126="","",MAX(0,MIN(100,Q126-IF(P126="No",'Assumptions'!$B$7,0))))</x:f>
      </x:c>
      <x:c r="S126" s="15" t="str">
        <x:f>IF(A126="","",IF(R126&gt;=80,"Strong",IF(R126&gt;=50,"Moderate","Weak")))</x:f>
      </x:c>
      <x:c r="T126" s="29" t="str">
        <x:f>IF(A126="","","Relative prototype score; not measured dBm")</x:f>
      </x:c>
    </x:row>
    <x:row r="127">
      <x:c r="A127" s="30"/>
      <x:c r="B127" s="15"/>
      <x:c r="C127" s="15"/>
      <x:c r="D127" s="15"/>
      <x:c r="E127" s="15"/>
      <x:c r="F127" s="15"/>
      <x:c r="G127" s="15"/>
      <x:c r="H127" s="15"/>
      <x:c r="I127" s="15"/>
      <x:c r="J127" s="15"/>
      <x:c r="K127" s="15"/>
      <x:c r="L127" s="23" t="str">
        <x:f>IF(A127="","",2*'Assumptions'!$B$4*ASIN(SQRT(SIN(RADIANS(F127-I127)/2)^2+COS(RADIANS(F127))*COS(RADIANS(I127))*SIN(RADIANS(G127-J127)/2)^2)))</x:f>
      </x:c>
      <x:c r="M127" s="23" t="str">
        <x:f>IF(A127="","",SQRT(L127^2+((H127*0.3048-K127)/1000)^2))</x:f>
      </x:c>
      <x:c r="N127" s="23" t="str">
        <x:f>IF(A127="","",32.45+20*LOG133(MAX(M127,0.001))+20*LOG133(E127))</x:f>
      </x:c>
      <x:c r="O127" s="23" t="str">
        <x:f>IF(A127="","",'Assumptions'!$B$8*(SQRT(MAX(H127*0.3048,0))+SQRT(MAX(K127,0))))</x:f>
      </x:c>
      <x:c r="P127" s="22" t="str">
        <x:f>IF(A127="","",IF(L127&lt;=O127,"Yes","No"))</x:f>
      </x:c>
      <x:c r="Q127" s="24" t="str">
        <x:f>IF(A127="","",100*('Assumptions'!$B$6-N127)/('Assumptions'!$B$6-'Assumptions'!$B$5))</x:f>
      </x:c>
      <x:c r="R127" s="24" t="str">
        <x:f>IF(A127="","",MAX(0,MIN(100,Q127-IF(P127="No",'Assumptions'!$B$7,0))))</x:f>
      </x:c>
      <x:c r="S127" s="15" t="str">
        <x:f>IF(A127="","",IF(R127&gt;=80,"Strong",IF(R127&gt;=50,"Moderate","Weak")))</x:f>
      </x:c>
      <x:c r="T127" s="29" t="str">
        <x:f>IF(A127="","","Relative prototype score; not measured dBm")</x:f>
      </x:c>
    </x:row>
    <x:row r="128">
      <x:c r="A128" s="30"/>
      <x:c r="B128" s="15"/>
      <x:c r="C128" s="15"/>
      <x:c r="D128" s="15"/>
      <x:c r="E128" s="15"/>
      <x:c r="F128" s="15"/>
      <x:c r="G128" s="15"/>
      <x:c r="H128" s="15"/>
      <x:c r="I128" s="15"/>
      <x:c r="J128" s="15"/>
      <x:c r="K128" s="15"/>
      <x:c r="L128" s="23" t="str">
        <x:f>IF(A128="","",2*'Assumptions'!$B$4*ASIN(SQRT(SIN(RADIANS(F128-I128)/2)^2+COS(RADIANS(F128))*COS(RADIANS(I128))*SIN(RADIANS(G128-J128)/2)^2)))</x:f>
      </x:c>
      <x:c r="M128" s="23" t="str">
        <x:f>IF(A128="","",SQRT(L128^2+((H128*0.3048-K128)/1000)^2))</x:f>
      </x:c>
      <x:c r="N128" s="23" t="str">
        <x:f>IF(A128="","",32.45+20*LOG134(MAX(M128,0.001))+20*LOG134(E128))</x:f>
      </x:c>
      <x:c r="O128" s="23" t="str">
        <x:f>IF(A128="","",'Assumptions'!$B$8*(SQRT(MAX(H128*0.3048,0))+SQRT(MAX(K128,0))))</x:f>
      </x:c>
      <x:c r="P128" s="22" t="str">
        <x:f>IF(A128="","",IF(L128&lt;=O128,"Yes","No"))</x:f>
      </x:c>
      <x:c r="Q128" s="24" t="str">
        <x:f>IF(A128="","",100*('Assumptions'!$B$6-N128)/('Assumptions'!$B$6-'Assumptions'!$B$5))</x:f>
      </x:c>
      <x:c r="R128" s="24" t="str">
        <x:f>IF(A128="","",MAX(0,MIN(100,Q128-IF(P128="No",'Assumptions'!$B$7,0))))</x:f>
      </x:c>
      <x:c r="S128" s="15" t="str">
        <x:f>IF(A128="","",IF(R128&gt;=80,"Strong",IF(R128&gt;=50,"Moderate","Weak")))</x:f>
      </x:c>
      <x:c r="T128" s="29" t="str">
        <x:f>IF(A128="","","Relative prototype score; not measured dBm")</x:f>
      </x:c>
    </x:row>
    <x:row r="129">
      <x:c r="A129" s="30"/>
      <x:c r="B129" s="15"/>
      <x:c r="C129" s="15"/>
      <x:c r="D129" s="15"/>
      <x:c r="E129" s="15"/>
      <x:c r="F129" s="15"/>
      <x:c r="G129" s="15"/>
      <x:c r="H129" s="15"/>
      <x:c r="I129" s="15"/>
      <x:c r="J129" s="15"/>
      <x:c r="K129" s="15"/>
      <x:c r="L129" s="23" t="str">
        <x:f>IF(A129="","",2*'Assumptions'!$B$4*ASIN(SQRT(SIN(RADIANS(F129-I129)/2)^2+COS(RADIANS(F129))*COS(RADIANS(I129))*SIN(RADIANS(G129-J129)/2)^2)))</x:f>
      </x:c>
      <x:c r="M129" s="23" t="str">
        <x:f>IF(A129="","",SQRT(L129^2+((H129*0.3048-K129)/1000)^2))</x:f>
      </x:c>
      <x:c r="N129" s="23" t="str">
        <x:f>IF(A129="","",32.45+20*LOG135(MAX(M129,0.001))+20*LOG135(E129))</x:f>
      </x:c>
      <x:c r="O129" s="23" t="str">
        <x:f>IF(A129="","",'Assumptions'!$B$8*(SQRT(MAX(H129*0.3048,0))+SQRT(MAX(K129,0))))</x:f>
      </x:c>
      <x:c r="P129" s="22" t="str">
        <x:f>IF(A129="","",IF(L129&lt;=O129,"Yes","No"))</x:f>
      </x:c>
      <x:c r="Q129" s="24" t="str">
        <x:f>IF(A129="","",100*('Assumptions'!$B$6-N129)/('Assumptions'!$B$6-'Assumptions'!$B$5))</x:f>
      </x:c>
      <x:c r="R129" s="24" t="str">
        <x:f>IF(A129="","",MAX(0,MIN(100,Q129-IF(P129="No",'Assumptions'!$B$7,0))))</x:f>
      </x:c>
      <x:c r="S129" s="15" t="str">
        <x:f>IF(A129="","",IF(R129&gt;=80,"Strong",IF(R129&gt;=50,"Moderate","Weak")))</x:f>
      </x:c>
      <x:c r="T129" s="29" t="str">
        <x:f>IF(A129="","","Relative prototype score; not measured dBm")</x:f>
      </x:c>
    </x:row>
    <x:row r="130">
      <x:c r="A130" s="30"/>
      <x:c r="B130" s="15"/>
      <x:c r="C130" s="15"/>
      <x:c r="D130" s="15"/>
      <x:c r="E130" s="15"/>
      <x:c r="F130" s="15"/>
      <x:c r="G130" s="15"/>
      <x:c r="H130" s="15"/>
      <x:c r="I130" s="15"/>
      <x:c r="J130" s="15"/>
      <x:c r="K130" s="15"/>
      <x:c r="L130" s="23" t="str">
        <x:f>IF(A130="","",2*'Assumptions'!$B$4*ASIN(SQRT(SIN(RADIANS(F130-I130)/2)^2+COS(RADIANS(F130))*COS(RADIANS(I130))*SIN(RADIANS(G130-J130)/2)^2)))</x:f>
      </x:c>
      <x:c r="M130" s="23" t="str">
        <x:f>IF(A130="","",SQRT(L130^2+((H130*0.3048-K130)/1000)^2))</x:f>
      </x:c>
      <x:c r="N130" s="23" t="str">
        <x:f>IF(A130="","",32.45+20*LOG136(MAX(M130,0.001))+20*LOG136(E130))</x:f>
      </x:c>
      <x:c r="O130" s="23" t="str">
        <x:f>IF(A130="","",'Assumptions'!$B$8*(SQRT(MAX(H130*0.3048,0))+SQRT(MAX(K130,0))))</x:f>
      </x:c>
      <x:c r="P130" s="22" t="str">
        <x:f>IF(A130="","",IF(L130&lt;=O130,"Yes","No"))</x:f>
      </x:c>
      <x:c r="Q130" s="24" t="str">
        <x:f>IF(A130="","",100*('Assumptions'!$B$6-N130)/('Assumptions'!$B$6-'Assumptions'!$B$5))</x:f>
      </x:c>
      <x:c r="R130" s="24" t="str">
        <x:f>IF(A130="","",MAX(0,MIN(100,Q130-IF(P130="No",'Assumptions'!$B$7,0))))</x:f>
      </x:c>
      <x:c r="S130" s="15" t="str">
        <x:f>IF(A130="","",IF(R130&gt;=80,"Strong",IF(R130&gt;=50,"Moderate","Weak")))</x:f>
      </x:c>
      <x:c r="T130" s="29" t="str">
        <x:f>IF(A130="","","Relative prototype score; not measured dBm")</x:f>
      </x:c>
    </x:row>
    <x:row r="131">
      <x:c r="A131" s="30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23" t="str">
        <x:f>IF(A131="","",2*'Assumptions'!$B$4*ASIN(SQRT(SIN(RADIANS(F131-I131)/2)^2+COS(RADIANS(F131))*COS(RADIANS(I131))*SIN(RADIANS(G131-J131)/2)^2)))</x:f>
      </x:c>
      <x:c r="M131" s="23" t="str">
        <x:f>IF(A131="","",SQRT(L131^2+((H131*0.3048-K131)/1000)^2))</x:f>
      </x:c>
      <x:c r="N131" s="23" t="str">
        <x:f>IF(A131="","",32.45+20*LOG137(MAX(M131,0.001))+20*LOG137(E131))</x:f>
      </x:c>
      <x:c r="O131" s="23" t="str">
        <x:f>IF(A131="","",'Assumptions'!$B$8*(SQRT(MAX(H131*0.3048,0))+SQRT(MAX(K131,0))))</x:f>
      </x:c>
      <x:c r="P131" s="22" t="str">
        <x:f>IF(A131="","",IF(L131&lt;=O131,"Yes","No"))</x:f>
      </x:c>
      <x:c r="Q131" s="24" t="str">
        <x:f>IF(A131="","",100*('Assumptions'!$B$6-N131)/('Assumptions'!$B$6-'Assumptions'!$B$5))</x:f>
      </x:c>
      <x:c r="R131" s="24" t="str">
        <x:f>IF(A131="","",MAX(0,MIN(100,Q131-IF(P131="No",'Assumptions'!$B$7,0))))</x:f>
      </x:c>
      <x:c r="S131" s="15" t="str">
        <x:f>IF(A131="","",IF(R131&gt;=80,"Strong",IF(R131&gt;=50,"Moderate","Weak")))</x:f>
      </x:c>
      <x:c r="T131" s="29" t="str">
        <x:f>IF(A131="","","Relative prototype score; not measured dBm")</x:f>
      </x:c>
    </x:row>
    <x:row r="132">
      <x:c r="A132" s="30"/>
      <x:c r="B132" s="15"/>
      <x:c r="C132" s="15"/>
      <x:c r="D132" s="15"/>
      <x:c r="E132" s="15"/>
      <x:c r="F132" s="15"/>
      <x:c r="G132" s="15"/>
      <x:c r="H132" s="15"/>
      <x:c r="I132" s="15"/>
      <x:c r="J132" s="15"/>
      <x:c r="K132" s="15"/>
      <x:c r="L132" s="23" t="str">
        <x:f>IF(A132="","",2*'Assumptions'!$B$4*ASIN(SQRT(SIN(RADIANS(F132-I132)/2)^2+COS(RADIANS(F132))*COS(RADIANS(I132))*SIN(RADIANS(G132-J132)/2)^2)))</x:f>
      </x:c>
      <x:c r="M132" s="23" t="str">
        <x:f>IF(A132="","",SQRT(L132^2+((H132*0.3048-K132)/1000)^2))</x:f>
      </x:c>
      <x:c r="N132" s="23" t="str">
        <x:f>IF(A132="","",32.45+20*LOG138(MAX(M132,0.001))+20*LOG138(E132))</x:f>
      </x:c>
      <x:c r="O132" s="23" t="str">
        <x:f>IF(A132="","",'Assumptions'!$B$8*(SQRT(MAX(H132*0.3048,0))+SQRT(MAX(K132,0))))</x:f>
      </x:c>
      <x:c r="P132" s="22" t="str">
        <x:f>IF(A132="","",IF(L132&lt;=O132,"Yes","No"))</x:f>
      </x:c>
      <x:c r="Q132" s="24" t="str">
        <x:f>IF(A132="","",100*('Assumptions'!$B$6-N132)/('Assumptions'!$B$6-'Assumptions'!$B$5))</x:f>
      </x:c>
      <x:c r="R132" s="24" t="str">
        <x:f>IF(A132="","",MAX(0,MIN(100,Q132-IF(P132="No",'Assumptions'!$B$7,0))))</x:f>
      </x:c>
      <x:c r="S132" s="15" t="str">
        <x:f>IF(A132="","",IF(R132&gt;=80,"Strong",IF(R132&gt;=50,"Moderate","Weak")))</x:f>
      </x:c>
      <x:c r="T132" s="29" t="str">
        <x:f>IF(A132="","","Relative prototype score; not measured dBm")</x:f>
      </x:c>
    </x:row>
    <x:row r="133">
      <x:c r="A133" s="30"/>
      <x:c r="B133" s="15"/>
      <x:c r="C133" s="15"/>
      <x:c r="D133" s="15"/>
      <x:c r="E133" s="15"/>
      <x:c r="F133" s="15"/>
      <x:c r="G133" s="15"/>
      <x:c r="H133" s="15"/>
      <x:c r="I133" s="15"/>
      <x:c r="J133" s="15"/>
      <x:c r="K133" s="15"/>
      <x:c r="L133" s="23" t="str">
        <x:f>IF(A133="","",2*'Assumptions'!$B$4*ASIN(SQRT(SIN(RADIANS(F133-I133)/2)^2+COS(RADIANS(F133))*COS(RADIANS(I133))*SIN(RADIANS(G133-J133)/2)^2)))</x:f>
      </x:c>
      <x:c r="M133" s="23" t="str">
        <x:f>IF(A133="","",SQRT(L133^2+((H133*0.3048-K133)/1000)^2))</x:f>
      </x:c>
      <x:c r="N133" s="23" t="str">
        <x:f>IF(A133="","",32.45+20*LOG139(MAX(M133,0.001))+20*LOG139(E133))</x:f>
      </x:c>
      <x:c r="O133" s="23" t="str">
        <x:f>IF(A133="","",'Assumptions'!$B$8*(SQRT(MAX(H133*0.3048,0))+SQRT(MAX(K133,0))))</x:f>
      </x:c>
      <x:c r="P133" s="22" t="str">
        <x:f>IF(A133="","",IF(L133&lt;=O133,"Yes","No"))</x:f>
      </x:c>
      <x:c r="Q133" s="24" t="str">
        <x:f>IF(A133="","",100*('Assumptions'!$B$6-N133)/('Assumptions'!$B$6-'Assumptions'!$B$5))</x:f>
      </x:c>
      <x:c r="R133" s="24" t="str">
        <x:f>IF(A133="","",MAX(0,MIN(100,Q133-IF(P133="No",'Assumptions'!$B$7,0))))</x:f>
      </x:c>
      <x:c r="S133" s="15" t="str">
        <x:f>IF(A133="","",IF(R133&gt;=80,"Strong",IF(R133&gt;=50,"Moderate","Weak")))</x:f>
      </x:c>
      <x:c r="T133" s="29" t="str">
        <x:f>IF(A133="","","Relative prototype score; not measured dBm")</x:f>
      </x:c>
    </x:row>
    <x:row r="134">
      <x:c r="A134" s="30"/>
      <x:c r="B134" s="15"/>
      <x:c r="C134" s="15"/>
      <x:c r="D134" s="15"/>
      <x:c r="E134" s="15"/>
      <x:c r="F134" s="15"/>
      <x:c r="G134" s="15"/>
      <x:c r="H134" s="15"/>
      <x:c r="I134" s="15"/>
      <x:c r="J134" s="15"/>
      <x:c r="K134" s="15"/>
      <x:c r="L134" s="23" t="str">
        <x:f>IF(A134="","",2*'Assumptions'!$B$4*ASIN(SQRT(SIN(RADIANS(F134-I134)/2)^2+COS(RADIANS(F134))*COS(RADIANS(I134))*SIN(RADIANS(G134-J134)/2)^2)))</x:f>
      </x:c>
      <x:c r="M134" s="23" t="str">
        <x:f>IF(A134="","",SQRT(L134^2+((H134*0.3048-K134)/1000)^2))</x:f>
      </x:c>
      <x:c r="N134" s="23" t="str">
        <x:f>IF(A134="","",32.45+20*LOG140(MAX(M134,0.001))+20*LOG140(E134))</x:f>
      </x:c>
      <x:c r="O134" s="23" t="str">
        <x:f>IF(A134="","",'Assumptions'!$B$8*(SQRT(MAX(H134*0.3048,0))+SQRT(MAX(K134,0))))</x:f>
      </x:c>
      <x:c r="P134" s="22" t="str">
        <x:f>IF(A134="","",IF(L134&lt;=O134,"Yes","No"))</x:f>
      </x:c>
      <x:c r="Q134" s="24" t="str">
        <x:f>IF(A134="","",100*('Assumptions'!$B$6-N134)/('Assumptions'!$B$6-'Assumptions'!$B$5))</x:f>
      </x:c>
      <x:c r="R134" s="24" t="str">
        <x:f>IF(A134="","",MAX(0,MIN(100,Q134-IF(P134="No",'Assumptions'!$B$7,0))))</x:f>
      </x:c>
      <x:c r="S134" s="15" t="str">
        <x:f>IF(A134="","",IF(R134&gt;=80,"Strong",IF(R134&gt;=50,"Moderate","Weak")))</x:f>
      </x:c>
      <x:c r="T134" s="29" t="str">
        <x:f>IF(A134="","","Relative prototype score; not measured dBm")</x:f>
      </x:c>
    </x:row>
    <x:row r="135">
      <x:c r="A135" s="30"/>
      <x:c r="B135" s="15"/>
      <x:c r="C135" s="15"/>
      <x:c r="D135" s="15"/>
      <x:c r="E135" s="15"/>
      <x:c r="F135" s="15"/>
      <x:c r="G135" s="15"/>
      <x:c r="H135" s="15"/>
      <x:c r="I135" s="15"/>
      <x:c r="J135" s="15"/>
      <x:c r="K135" s="15"/>
      <x:c r="L135" s="23" t="str">
        <x:f>IF(A135="","",2*'Assumptions'!$B$4*ASIN(SQRT(SIN(RADIANS(F135-I135)/2)^2+COS(RADIANS(F135))*COS(RADIANS(I135))*SIN(RADIANS(G135-J135)/2)^2)))</x:f>
      </x:c>
      <x:c r="M135" s="23" t="str">
        <x:f>IF(A135="","",SQRT(L135^2+((H135*0.3048-K135)/1000)^2))</x:f>
      </x:c>
      <x:c r="N135" s="23" t="str">
        <x:f>IF(A135="","",32.45+20*LOG141(MAX(M135,0.001))+20*LOG141(E135))</x:f>
      </x:c>
      <x:c r="O135" s="23" t="str">
        <x:f>IF(A135="","",'Assumptions'!$B$8*(SQRT(MAX(H135*0.3048,0))+SQRT(MAX(K135,0))))</x:f>
      </x:c>
      <x:c r="P135" s="22" t="str">
        <x:f>IF(A135="","",IF(L135&lt;=O135,"Yes","No"))</x:f>
      </x:c>
      <x:c r="Q135" s="24" t="str">
        <x:f>IF(A135="","",100*('Assumptions'!$B$6-N135)/('Assumptions'!$B$6-'Assumptions'!$B$5))</x:f>
      </x:c>
      <x:c r="R135" s="24" t="str">
        <x:f>IF(A135="","",MAX(0,MIN(100,Q135-IF(P135="No",'Assumptions'!$B$7,0))))</x:f>
      </x:c>
      <x:c r="S135" s="15" t="str">
        <x:f>IF(A135="","",IF(R135&gt;=80,"Strong",IF(R135&gt;=50,"Moderate","Weak")))</x:f>
      </x:c>
      <x:c r="T135" s="29" t="str">
        <x:f>IF(A135="","","Relative prototype score; not measured dBm")</x:f>
      </x:c>
    </x:row>
    <x:row r="136">
      <x:c r="A136" s="30"/>
      <x:c r="B136" s="15"/>
      <x:c r="C136" s="15"/>
      <x:c r="D136" s="15"/>
      <x:c r="E136" s="15"/>
      <x:c r="F136" s="15"/>
      <x:c r="G136" s="15"/>
      <x:c r="H136" s="15"/>
      <x:c r="I136" s="15"/>
      <x:c r="J136" s="15"/>
      <x:c r="K136" s="15"/>
      <x:c r="L136" s="23" t="str">
        <x:f>IF(A136="","",2*'Assumptions'!$B$4*ASIN(SQRT(SIN(RADIANS(F136-I136)/2)^2+COS(RADIANS(F136))*COS(RADIANS(I136))*SIN(RADIANS(G136-J136)/2)^2)))</x:f>
      </x:c>
      <x:c r="M136" s="23" t="str">
        <x:f>IF(A136="","",SQRT(L136^2+((H136*0.3048-K136)/1000)^2))</x:f>
      </x:c>
      <x:c r="N136" s="23" t="str">
        <x:f>IF(A136="","",32.45+20*LOG142(MAX(M136,0.001))+20*LOG142(E136))</x:f>
      </x:c>
      <x:c r="O136" s="23" t="str">
        <x:f>IF(A136="","",'Assumptions'!$B$8*(SQRT(MAX(H136*0.3048,0))+SQRT(MAX(K136,0))))</x:f>
      </x:c>
      <x:c r="P136" s="22" t="str">
        <x:f>IF(A136="","",IF(L136&lt;=O136,"Yes","No"))</x:f>
      </x:c>
      <x:c r="Q136" s="24" t="str">
        <x:f>IF(A136="","",100*('Assumptions'!$B$6-N136)/('Assumptions'!$B$6-'Assumptions'!$B$5))</x:f>
      </x:c>
      <x:c r="R136" s="24" t="str">
        <x:f>IF(A136="","",MAX(0,MIN(100,Q136-IF(P136="No",'Assumptions'!$B$7,0))))</x:f>
      </x:c>
      <x:c r="S136" s="15" t="str">
        <x:f>IF(A136="","",IF(R136&gt;=80,"Strong",IF(R136&gt;=50,"Moderate","Weak")))</x:f>
      </x:c>
      <x:c r="T136" s="29" t="str">
        <x:f>IF(A136="","","Relative prototype score; not measured dBm")</x:f>
      </x:c>
    </x:row>
    <x:row r="137">
      <x:c r="A137" s="30"/>
      <x:c r="B137" s="15"/>
      <x:c r="C137" s="15"/>
      <x:c r="D137" s="15"/>
      <x:c r="E137" s="15"/>
      <x:c r="F137" s="15"/>
      <x:c r="G137" s="15"/>
      <x:c r="H137" s="15"/>
      <x:c r="I137" s="15"/>
      <x:c r="J137" s="15"/>
      <x:c r="K137" s="15"/>
      <x:c r="L137" s="23" t="str">
        <x:f>IF(A137="","",2*'Assumptions'!$B$4*ASIN(SQRT(SIN(RADIANS(F137-I137)/2)^2+COS(RADIANS(F137))*COS(RADIANS(I137))*SIN(RADIANS(G137-J137)/2)^2)))</x:f>
      </x:c>
      <x:c r="M137" s="23" t="str">
        <x:f>IF(A137="","",SQRT(L137^2+((H137*0.3048-K137)/1000)^2))</x:f>
      </x:c>
      <x:c r="N137" s="23" t="str">
        <x:f>IF(A137="","",32.45+20*LOG143(MAX(M137,0.001))+20*LOG143(E137))</x:f>
      </x:c>
      <x:c r="O137" s="23" t="str">
        <x:f>IF(A137="","",'Assumptions'!$B$8*(SQRT(MAX(H137*0.3048,0))+SQRT(MAX(K137,0))))</x:f>
      </x:c>
      <x:c r="P137" s="22" t="str">
        <x:f>IF(A137="","",IF(L137&lt;=O137,"Yes","No"))</x:f>
      </x:c>
      <x:c r="Q137" s="24" t="str">
        <x:f>IF(A137="","",100*('Assumptions'!$B$6-N137)/('Assumptions'!$B$6-'Assumptions'!$B$5))</x:f>
      </x:c>
      <x:c r="R137" s="24" t="str">
        <x:f>IF(A137="","",MAX(0,MIN(100,Q137-IF(P137="No",'Assumptions'!$B$7,0))))</x:f>
      </x:c>
      <x:c r="S137" s="15" t="str">
        <x:f>IF(A137="","",IF(R137&gt;=80,"Strong",IF(R137&gt;=50,"Moderate","Weak")))</x:f>
      </x:c>
      <x:c r="T137" s="29" t="str">
        <x:f>IF(A137="","","Relative prototype score; not measured dBm")</x:f>
      </x:c>
    </x:row>
    <x:row r="138">
      <x:c r="A138" s="30"/>
      <x:c r="B138" s="15"/>
      <x:c r="C138" s="15"/>
      <x:c r="D138" s="15"/>
      <x:c r="E138" s="15"/>
      <x:c r="F138" s="15"/>
      <x:c r="G138" s="15"/>
      <x:c r="H138" s="15"/>
      <x:c r="I138" s="15"/>
      <x:c r="J138" s="15"/>
      <x:c r="K138" s="15"/>
      <x:c r="L138" s="23" t="str">
        <x:f>IF(A138="","",2*'Assumptions'!$B$4*ASIN(SQRT(SIN(RADIANS(F138-I138)/2)^2+COS(RADIANS(F138))*COS(RADIANS(I138))*SIN(RADIANS(G138-J138)/2)^2)))</x:f>
      </x:c>
      <x:c r="M138" s="23" t="str">
        <x:f>IF(A138="","",SQRT(L138^2+((H138*0.3048-K138)/1000)^2))</x:f>
      </x:c>
      <x:c r="N138" s="23" t="str">
        <x:f>IF(A138="","",32.45+20*LOG144(MAX(M138,0.001))+20*LOG144(E138))</x:f>
      </x:c>
      <x:c r="O138" s="23" t="str">
        <x:f>IF(A138="","",'Assumptions'!$B$8*(SQRT(MAX(H138*0.3048,0))+SQRT(MAX(K138,0))))</x:f>
      </x:c>
      <x:c r="P138" s="22" t="str">
        <x:f>IF(A138="","",IF(L138&lt;=O138,"Yes","No"))</x:f>
      </x:c>
      <x:c r="Q138" s="24" t="str">
        <x:f>IF(A138="","",100*('Assumptions'!$B$6-N138)/('Assumptions'!$B$6-'Assumptions'!$B$5))</x:f>
      </x:c>
      <x:c r="R138" s="24" t="str">
        <x:f>IF(A138="","",MAX(0,MIN(100,Q138-IF(P138="No",'Assumptions'!$B$7,0))))</x:f>
      </x:c>
      <x:c r="S138" s="15" t="str">
        <x:f>IF(A138="","",IF(R138&gt;=80,"Strong",IF(R138&gt;=50,"Moderate","Weak")))</x:f>
      </x:c>
      <x:c r="T138" s="29" t="str">
        <x:f>IF(A138="","","Relative prototype score; not measured dBm")</x:f>
      </x:c>
    </x:row>
    <x:row r="139">
      <x:c r="A139" s="30"/>
      <x:c r="B139" s="15"/>
      <x:c r="C139" s="15"/>
      <x:c r="D139" s="15"/>
      <x:c r="E139" s="15"/>
      <x:c r="F139" s="15"/>
      <x:c r="G139" s="15"/>
      <x:c r="H139" s="15"/>
      <x:c r="I139" s="15"/>
      <x:c r="J139" s="15"/>
      <x:c r="K139" s="15"/>
      <x:c r="L139" s="23" t="str">
        <x:f>IF(A139="","",2*'Assumptions'!$B$4*ASIN(SQRT(SIN(RADIANS(F139-I139)/2)^2+COS(RADIANS(F139))*COS(RADIANS(I139))*SIN(RADIANS(G139-J139)/2)^2)))</x:f>
      </x:c>
      <x:c r="M139" s="23" t="str">
        <x:f>IF(A139="","",SQRT(L139^2+((H139*0.3048-K139)/1000)^2))</x:f>
      </x:c>
      <x:c r="N139" s="23" t="str">
        <x:f>IF(A139="","",32.45+20*LOG145(MAX(M139,0.001))+20*LOG145(E139))</x:f>
      </x:c>
      <x:c r="O139" s="23" t="str">
        <x:f>IF(A139="","",'Assumptions'!$B$8*(SQRT(MAX(H139*0.3048,0))+SQRT(MAX(K139,0))))</x:f>
      </x:c>
      <x:c r="P139" s="22" t="str">
        <x:f>IF(A139="","",IF(L139&lt;=O139,"Yes","No"))</x:f>
      </x:c>
      <x:c r="Q139" s="24" t="str">
        <x:f>IF(A139="","",100*('Assumptions'!$B$6-N139)/('Assumptions'!$B$6-'Assumptions'!$B$5))</x:f>
      </x:c>
      <x:c r="R139" s="24" t="str">
        <x:f>IF(A139="","",MAX(0,MIN(100,Q139-IF(P139="No",'Assumptions'!$B$7,0))))</x:f>
      </x:c>
      <x:c r="S139" s="15" t="str">
        <x:f>IF(A139="","",IF(R139&gt;=80,"Strong",IF(R139&gt;=50,"Moderate","Weak")))</x:f>
      </x:c>
      <x:c r="T139" s="29" t="str">
        <x:f>IF(A139="","","Relative prototype score; not measured dBm")</x:f>
      </x:c>
    </x:row>
    <x:row r="140">
      <x:c r="A140" s="30"/>
      <x:c r="B140" s="15"/>
      <x:c r="C140" s="15"/>
      <x:c r="D140" s="15"/>
      <x:c r="E140" s="15"/>
      <x:c r="F140" s="15"/>
      <x:c r="G140" s="15"/>
      <x:c r="H140" s="15"/>
      <x:c r="I140" s="15"/>
      <x:c r="J140" s="15"/>
      <x:c r="K140" s="15"/>
      <x:c r="L140" s="23" t="str">
        <x:f>IF(A140="","",2*'Assumptions'!$B$4*ASIN(SQRT(SIN(RADIANS(F140-I140)/2)^2+COS(RADIANS(F140))*COS(RADIANS(I140))*SIN(RADIANS(G140-J140)/2)^2)))</x:f>
      </x:c>
      <x:c r="M140" s="23" t="str">
        <x:f>IF(A140="","",SQRT(L140^2+((H140*0.3048-K140)/1000)^2))</x:f>
      </x:c>
      <x:c r="N140" s="23" t="str">
        <x:f>IF(A140="","",32.45+20*LOG146(MAX(M140,0.001))+20*LOG146(E140))</x:f>
      </x:c>
      <x:c r="O140" s="23" t="str">
        <x:f>IF(A140="","",'Assumptions'!$B$8*(SQRT(MAX(H140*0.3048,0))+SQRT(MAX(K140,0))))</x:f>
      </x:c>
      <x:c r="P140" s="22" t="str">
        <x:f>IF(A140="","",IF(L140&lt;=O140,"Yes","No"))</x:f>
      </x:c>
      <x:c r="Q140" s="24" t="str">
        <x:f>IF(A140="","",100*('Assumptions'!$B$6-N140)/('Assumptions'!$B$6-'Assumptions'!$B$5))</x:f>
      </x:c>
      <x:c r="R140" s="24" t="str">
        <x:f>IF(A140="","",MAX(0,MIN(100,Q140-IF(P140="No",'Assumptions'!$B$7,0))))</x:f>
      </x:c>
      <x:c r="S140" s="15" t="str">
        <x:f>IF(A140="","",IF(R140&gt;=80,"Strong",IF(R140&gt;=50,"Moderate","Weak")))</x:f>
      </x:c>
      <x:c r="T140" s="29" t="str">
        <x:f>IF(A140="","","Relative prototype score; not measured dBm")</x:f>
      </x:c>
    </x:row>
    <x:row r="141">
      <x:c r="A141" s="30"/>
      <x:c r="B141" s="15"/>
      <x:c r="C141" s="15"/>
      <x:c r="D141" s="15"/>
      <x:c r="E141" s="15"/>
      <x:c r="F141" s="15"/>
      <x:c r="G141" s="15"/>
      <x:c r="H141" s="15"/>
      <x:c r="I141" s="15"/>
      <x:c r="J141" s="15"/>
      <x:c r="K141" s="15"/>
      <x:c r="L141" s="23" t="str">
        <x:f>IF(A141="","",2*'Assumptions'!$B$4*ASIN(SQRT(SIN(RADIANS(F141-I141)/2)^2+COS(RADIANS(F141))*COS(RADIANS(I141))*SIN(RADIANS(G141-J141)/2)^2)))</x:f>
      </x:c>
      <x:c r="M141" s="23" t="str">
        <x:f>IF(A141="","",SQRT(L141^2+((H141*0.3048-K141)/1000)^2))</x:f>
      </x:c>
      <x:c r="N141" s="23" t="str">
        <x:f>IF(A141="","",32.45+20*LOG147(MAX(M141,0.001))+20*LOG147(E141))</x:f>
      </x:c>
      <x:c r="O141" s="23" t="str">
        <x:f>IF(A141="","",'Assumptions'!$B$8*(SQRT(MAX(H141*0.3048,0))+SQRT(MAX(K141,0))))</x:f>
      </x:c>
      <x:c r="P141" s="22" t="str">
        <x:f>IF(A141="","",IF(L141&lt;=O141,"Yes","No"))</x:f>
      </x:c>
      <x:c r="Q141" s="24" t="str">
        <x:f>IF(A141="","",100*('Assumptions'!$B$6-N141)/('Assumptions'!$B$6-'Assumptions'!$B$5))</x:f>
      </x:c>
      <x:c r="R141" s="24" t="str">
        <x:f>IF(A141="","",MAX(0,MIN(100,Q141-IF(P141="No",'Assumptions'!$B$7,0))))</x:f>
      </x:c>
      <x:c r="S141" s="15" t="str">
        <x:f>IF(A141="","",IF(R141&gt;=80,"Strong",IF(R141&gt;=50,"Moderate","Weak")))</x:f>
      </x:c>
      <x:c r="T141" s="29" t="str">
        <x:f>IF(A141="","","Relative prototype score; not measured dBm")</x:f>
      </x:c>
    </x:row>
    <x:row r="142">
      <x:c r="A142" s="30"/>
      <x:c r="B142" s="15"/>
      <x:c r="C142" s="15"/>
      <x:c r="D142" s="15"/>
      <x:c r="E142" s="15"/>
      <x:c r="F142" s="15"/>
      <x:c r="G142" s="15"/>
      <x:c r="H142" s="15"/>
      <x:c r="I142" s="15"/>
      <x:c r="J142" s="15"/>
      <x:c r="K142" s="15"/>
      <x:c r="L142" s="23" t="str">
        <x:f>IF(A142="","",2*'Assumptions'!$B$4*ASIN(SQRT(SIN(RADIANS(F142-I142)/2)^2+COS(RADIANS(F142))*COS(RADIANS(I142))*SIN(RADIANS(G142-J142)/2)^2)))</x:f>
      </x:c>
      <x:c r="M142" s="23" t="str">
        <x:f>IF(A142="","",SQRT(L142^2+((H142*0.3048-K142)/1000)^2))</x:f>
      </x:c>
      <x:c r="N142" s="23" t="str">
        <x:f>IF(A142="","",32.45+20*LOG148(MAX(M142,0.001))+20*LOG148(E142))</x:f>
      </x:c>
      <x:c r="O142" s="23" t="str">
        <x:f>IF(A142="","",'Assumptions'!$B$8*(SQRT(MAX(H142*0.3048,0))+SQRT(MAX(K142,0))))</x:f>
      </x:c>
      <x:c r="P142" s="22" t="str">
        <x:f>IF(A142="","",IF(L142&lt;=O142,"Yes","No"))</x:f>
      </x:c>
      <x:c r="Q142" s="24" t="str">
        <x:f>IF(A142="","",100*('Assumptions'!$B$6-N142)/('Assumptions'!$B$6-'Assumptions'!$B$5))</x:f>
      </x:c>
      <x:c r="R142" s="24" t="str">
        <x:f>IF(A142="","",MAX(0,MIN(100,Q142-IF(P142="No",'Assumptions'!$B$7,0))))</x:f>
      </x:c>
      <x:c r="S142" s="15" t="str">
        <x:f>IF(A142="","",IF(R142&gt;=80,"Strong",IF(R142&gt;=50,"Moderate","Weak")))</x:f>
      </x:c>
      <x:c r="T142" s="29" t="str">
        <x:f>IF(A142="","","Relative prototype score; not measured dBm")</x:f>
      </x:c>
    </x:row>
    <x:row r="143">
      <x:c r="A143" s="30"/>
      <x:c r="B143" s="15"/>
      <x:c r="C143" s="15"/>
      <x:c r="D143" s="15"/>
      <x:c r="E143" s="15"/>
      <x:c r="F143" s="15"/>
      <x:c r="G143" s="15"/>
      <x:c r="H143" s="15"/>
      <x:c r="I143" s="15"/>
      <x:c r="J143" s="15"/>
      <x:c r="K143" s="15"/>
      <x:c r="L143" s="23" t="str">
        <x:f>IF(A143="","",2*'Assumptions'!$B$4*ASIN(SQRT(SIN(RADIANS(F143-I143)/2)^2+COS(RADIANS(F143))*COS(RADIANS(I143))*SIN(RADIANS(G143-J143)/2)^2)))</x:f>
      </x:c>
      <x:c r="M143" s="23" t="str">
        <x:f>IF(A143="","",SQRT(L143^2+((H143*0.3048-K143)/1000)^2))</x:f>
      </x:c>
      <x:c r="N143" s="23" t="str">
        <x:f>IF(A143="","",32.45+20*LOG149(MAX(M143,0.001))+20*LOG149(E143))</x:f>
      </x:c>
      <x:c r="O143" s="23" t="str">
        <x:f>IF(A143="","",'Assumptions'!$B$8*(SQRT(MAX(H143*0.3048,0))+SQRT(MAX(K143,0))))</x:f>
      </x:c>
      <x:c r="P143" s="22" t="str">
        <x:f>IF(A143="","",IF(L143&lt;=O143,"Yes","No"))</x:f>
      </x:c>
      <x:c r="Q143" s="24" t="str">
        <x:f>IF(A143="","",100*('Assumptions'!$B$6-N143)/('Assumptions'!$B$6-'Assumptions'!$B$5))</x:f>
      </x:c>
      <x:c r="R143" s="24" t="str">
        <x:f>IF(A143="","",MAX(0,MIN(100,Q143-IF(P143="No",'Assumptions'!$B$7,0))))</x:f>
      </x:c>
      <x:c r="S143" s="15" t="str">
        <x:f>IF(A143="","",IF(R143&gt;=80,"Strong",IF(R143&gt;=50,"Moderate","Weak")))</x:f>
      </x:c>
      <x:c r="T143" s="29" t="str">
        <x:f>IF(A143="","","Relative prototype score; not measured dBm")</x:f>
      </x:c>
    </x:row>
    <x:row r="144">
      <x:c r="A144" s="30"/>
      <x:c r="B144" s="15"/>
      <x:c r="C144" s="15"/>
      <x:c r="D144" s="15"/>
      <x:c r="E144" s="15"/>
      <x:c r="F144" s="15"/>
      <x:c r="G144" s="15"/>
      <x:c r="H144" s="15"/>
      <x:c r="I144" s="15"/>
      <x:c r="J144" s="15"/>
      <x:c r="K144" s="15"/>
      <x:c r="L144" s="23" t="str">
        <x:f>IF(A144="","",2*'Assumptions'!$B$4*ASIN(SQRT(SIN(RADIANS(F144-I144)/2)^2+COS(RADIANS(F144))*COS(RADIANS(I144))*SIN(RADIANS(G144-J144)/2)^2)))</x:f>
      </x:c>
      <x:c r="M144" s="23" t="str">
        <x:f>IF(A144="","",SQRT(L144^2+((H144*0.3048-K144)/1000)^2))</x:f>
      </x:c>
      <x:c r="N144" s="23" t="str">
        <x:f>IF(A144="","",32.45+20*LOG150(MAX(M144,0.001))+20*LOG150(E144))</x:f>
      </x:c>
      <x:c r="O144" s="23" t="str">
        <x:f>IF(A144="","",'Assumptions'!$B$8*(SQRT(MAX(H144*0.3048,0))+SQRT(MAX(K144,0))))</x:f>
      </x:c>
      <x:c r="P144" s="22" t="str">
        <x:f>IF(A144="","",IF(L144&lt;=O144,"Yes","No"))</x:f>
      </x:c>
      <x:c r="Q144" s="24" t="str">
        <x:f>IF(A144="","",100*('Assumptions'!$B$6-N144)/('Assumptions'!$B$6-'Assumptions'!$B$5))</x:f>
      </x:c>
      <x:c r="R144" s="24" t="str">
        <x:f>IF(A144="","",MAX(0,MIN(100,Q144-IF(P144="No",'Assumptions'!$B$7,0))))</x:f>
      </x:c>
      <x:c r="S144" s="15" t="str">
        <x:f>IF(A144="","",IF(R144&gt;=80,"Strong",IF(R144&gt;=50,"Moderate","Weak")))</x:f>
      </x:c>
      <x:c r="T144" s="29" t="str">
        <x:f>IF(A144="","","Relative prototype score; not measured dBm")</x:f>
      </x:c>
    </x:row>
    <x:row r="145">
      <x:c r="A145" s="30"/>
      <x:c r="B145" s="15"/>
      <x:c r="C145" s="15"/>
      <x:c r="D145" s="15"/>
      <x:c r="E145" s="15"/>
      <x:c r="F145" s="15"/>
      <x:c r="G145" s="15"/>
      <x:c r="H145" s="15"/>
      <x:c r="I145" s="15"/>
      <x:c r="J145" s="15"/>
      <x:c r="K145" s="15"/>
      <x:c r="L145" s="23" t="str">
        <x:f>IF(A145="","",2*'Assumptions'!$B$4*ASIN(SQRT(SIN(RADIANS(F145-I145)/2)^2+COS(RADIANS(F145))*COS(RADIANS(I145))*SIN(RADIANS(G145-J145)/2)^2)))</x:f>
      </x:c>
      <x:c r="M145" s="23" t="str">
        <x:f>IF(A145="","",SQRT(L145^2+((H145*0.3048-K145)/1000)^2))</x:f>
      </x:c>
      <x:c r="N145" s="23" t="str">
        <x:f>IF(A145="","",32.45+20*LOG151(MAX(M145,0.001))+20*LOG151(E145))</x:f>
      </x:c>
      <x:c r="O145" s="23" t="str">
        <x:f>IF(A145="","",'Assumptions'!$B$8*(SQRT(MAX(H145*0.3048,0))+SQRT(MAX(K145,0))))</x:f>
      </x:c>
      <x:c r="P145" s="22" t="str">
        <x:f>IF(A145="","",IF(L145&lt;=O145,"Yes","No"))</x:f>
      </x:c>
      <x:c r="Q145" s="24" t="str">
        <x:f>IF(A145="","",100*('Assumptions'!$B$6-N145)/('Assumptions'!$B$6-'Assumptions'!$B$5))</x:f>
      </x:c>
      <x:c r="R145" s="24" t="str">
        <x:f>IF(A145="","",MAX(0,MIN(100,Q145-IF(P145="No",'Assumptions'!$B$7,0))))</x:f>
      </x:c>
      <x:c r="S145" s="15" t="str">
        <x:f>IF(A145="","",IF(R145&gt;=80,"Strong",IF(R145&gt;=50,"Moderate","Weak")))</x:f>
      </x:c>
      <x:c r="T145" s="29" t="str">
        <x:f>IF(A145="","","Relative prototype score; not measured dBm")</x:f>
      </x:c>
    </x:row>
    <x:row r="146">
      <x:c r="A146" s="30"/>
      <x:c r="B146" s="15"/>
      <x:c r="C146" s="15"/>
      <x:c r="D146" s="15"/>
      <x:c r="E146" s="15"/>
      <x:c r="F146" s="15"/>
      <x:c r="G146" s="15"/>
      <x:c r="H146" s="15"/>
      <x:c r="I146" s="15"/>
      <x:c r="J146" s="15"/>
      <x:c r="K146" s="15"/>
      <x:c r="L146" s="23" t="str">
        <x:f>IF(A146="","",2*'Assumptions'!$B$4*ASIN(SQRT(SIN(RADIANS(F146-I146)/2)^2+COS(RADIANS(F146))*COS(RADIANS(I146))*SIN(RADIANS(G146-J146)/2)^2)))</x:f>
      </x:c>
      <x:c r="M146" s="23" t="str">
        <x:f>IF(A146="","",SQRT(L146^2+((H146*0.3048-K146)/1000)^2))</x:f>
      </x:c>
      <x:c r="N146" s="23" t="str">
        <x:f>IF(A146="","",32.45+20*LOG152(MAX(M146,0.001))+20*LOG152(E146))</x:f>
      </x:c>
      <x:c r="O146" s="23" t="str">
        <x:f>IF(A146="","",'Assumptions'!$B$8*(SQRT(MAX(H146*0.3048,0))+SQRT(MAX(K146,0))))</x:f>
      </x:c>
      <x:c r="P146" s="22" t="str">
        <x:f>IF(A146="","",IF(L146&lt;=O146,"Yes","No"))</x:f>
      </x:c>
      <x:c r="Q146" s="24" t="str">
        <x:f>IF(A146="","",100*('Assumptions'!$B$6-N146)/('Assumptions'!$B$6-'Assumptions'!$B$5))</x:f>
      </x:c>
      <x:c r="R146" s="24" t="str">
        <x:f>IF(A146="","",MAX(0,MIN(100,Q146-IF(P146="No",'Assumptions'!$B$7,0))))</x:f>
      </x:c>
      <x:c r="S146" s="15" t="str">
        <x:f>IF(A146="","",IF(R146&gt;=80,"Strong",IF(R146&gt;=50,"Moderate","Weak")))</x:f>
      </x:c>
      <x:c r="T146" s="29" t="str">
        <x:f>IF(A146="","","Relative prototype score; not measured dBm")</x:f>
      </x:c>
    </x:row>
    <x:row r="147">
      <x:c r="A147" s="30"/>
      <x:c r="B147" s="15"/>
      <x:c r="C147" s="15"/>
      <x:c r="D147" s="15"/>
      <x:c r="E147" s="15"/>
      <x:c r="F147" s="15"/>
      <x:c r="G147" s="15"/>
      <x:c r="H147" s="15"/>
      <x:c r="I147" s="15"/>
      <x:c r="J147" s="15"/>
      <x:c r="K147" s="15"/>
      <x:c r="L147" s="23" t="str">
        <x:f>IF(A147="","",2*'Assumptions'!$B$4*ASIN(SQRT(SIN(RADIANS(F147-I147)/2)^2+COS(RADIANS(F147))*COS(RADIANS(I147))*SIN(RADIANS(G147-J147)/2)^2)))</x:f>
      </x:c>
      <x:c r="M147" s="23" t="str">
        <x:f>IF(A147="","",SQRT(L147^2+((H147*0.3048-K147)/1000)^2))</x:f>
      </x:c>
      <x:c r="N147" s="23" t="str">
        <x:f>IF(A147="","",32.45+20*LOG153(MAX(M147,0.001))+20*LOG153(E147))</x:f>
      </x:c>
      <x:c r="O147" s="23" t="str">
        <x:f>IF(A147="","",'Assumptions'!$B$8*(SQRT(MAX(H147*0.3048,0))+SQRT(MAX(K147,0))))</x:f>
      </x:c>
      <x:c r="P147" s="22" t="str">
        <x:f>IF(A147="","",IF(L147&lt;=O147,"Yes","No"))</x:f>
      </x:c>
      <x:c r="Q147" s="24" t="str">
        <x:f>IF(A147="","",100*('Assumptions'!$B$6-N147)/('Assumptions'!$B$6-'Assumptions'!$B$5))</x:f>
      </x:c>
      <x:c r="R147" s="24" t="str">
        <x:f>IF(A147="","",MAX(0,MIN(100,Q147-IF(P147="No",'Assumptions'!$B$7,0))))</x:f>
      </x:c>
      <x:c r="S147" s="15" t="str">
        <x:f>IF(A147="","",IF(R147&gt;=80,"Strong",IF(R147&gt;=50,"Moderate","Weak")))</x:f>
      </x:c>
      <x:c r="T147" s="29" t="str">
        <x:f>IF(A147="","","Relative prototype score; not measured dBm")</x:f>
      </x:c>
    </x:row>
    <x:row r="148">
      <x:c r="A148" s="30"/>
      <x:c r="B148" s="15"/>
      <x:c r="C148" s="15"/>
      <x:c r="D148" s="15"/>
      <x:c r="E148" s="15"/>
      <x:c r="F148" s="15"/>
      <x:c r="G148" s="15"/>
      <x:c r="H148" s="15"/>
      <x:c r="I148" s="15"/>
      <x:c r="J148" s="15"/>
      <x:c r="K148" s="15"/>
      <x:c r="L148" s="23" t="str">
        <x:f>IF(A148="","",2*'Assumptions'!$B$4*ASIN(SQRT(SIN(RADIANS(F148-I148)/2)^2+COS(RADIANS(F148))*COS(RADIANS(I148))*SIN(RADIANS(G148-J148)/2)^2)))</x:f>
      </x:c>
      <x:c r="M148" s="23" t="str">
        <x:f>IF(A148="","",SQRT(L148^2+((H148*0.3048-K148)/1000)^2))</x:f>
      </x:c>
      <x:c r="N148" s="23" t="str">
        <x:f>IF(A148="","",32.45+20*LOG154(MAX(M148,0.001))+20*LOG154(E148))</x:f>
      </x:c>
      <x:c r="O148" s="23" t="str">
        <x:f>IF(A148="","",'Assumptions'!$B$8*(SQRT(MAX(H148*0.3048,0))+SQRT(MAX(K148,0))))</x:f>
      </x:c>
      <x:c r="P148" s="22" t="str">
        <x:f>IF(A148="","",IF(L148&lt;=O148,"Yes","No"))</x:f>
      </x:c>
      <x:c r="Q148" s="24" t="str">
        <x:f>IF(A148="","",100*('Assumptions'!$B$6-N148)/('Assumptions'!$B$6-'Assumptions'!$B$5))</x:f>
      </x:c>
      <x:c r="R148" s="24" t="str">
        <x:f>IF(A148="","",MAX(0,MIN(100,Q148-IF(P148="No",'Assumptions'!$B$7,0))))</x:f>
      </x:c>
      <x:c r="S148" s="15" t="str">
        <x:f>IF(A148="","",IF(R148&gt;=80,"Strong",IF(R148&gt;=50,"Moderate","Weak")))</x:f>
      </x:c>
      <x:c r="T148" s="29" t="str">
        <x:f>IF(A148="","","Relative prototype score; not measured dBm")</x:f>
      </x:c>
    </x:row>
    <x:row r="149">
      <x:c r="A149" s="30"/>
      <x:c r="B149" s="15"/>
      <x:c r="C149" s="15"/>
      <x:c r="D149" s="15"/>
      <x:c r="E149" s="15"/>
      <x:c r="F149" s="15"/>
      <x:c r="G149" s="15"/>
      <x:c r="H149" s="15"/>
      <x:c r="I149" s="15"/>
      <x:c r="J149" s="15"/>
      <x:c r="K149" s="15"/>
      <x:c r="L149" s="23" t="str">
        <x:f>IF(A149="","",2*'Assumptions'!$B$4*ASIN(SQRT(SIN(RADIANS(F149-I149)/2)^2+COS(RADIANS(F149))*COS(RADIANS(I149))*SIN(RADIANS(G149-J149)/2)^2)))</x:f>
      </x:c>
      <x:c r="M149" s="23" t="str">
        <x:f>IF(A149="","",SQRT(L149^2+((H149*0.3048-K149)/1000)^2))</x:f>
      </x:c>
      <x:c r="N149" s="23" t="str">
        <x:f>IF(A149="","",32.45+20*LOG155(MAX(M149,0.001))+20*LOG155(E149))</x:f>
      </x:c>
      <x:c r="O149" s="23" t="str">
        <x:f>IF(A149="","",'Assumptions'!$B$8*(SQRT(MAX(H149*0.3048,0))+SQRT(MAX(K149,0))))</x:f>
      </x:c>
      <x:c r="P149" s="22" t="str">
        <x:f>IF(A149="","",IF(L149&lt;=O149,"Yes","No"))</x:f>
      </x:c>
      <x:c r="Q149" s="24" t="str">
        <x:f>IF(A149="","",100*('Assumptions'!$B$6-N149)/('Assumptions'!$B$6-'Assumptions'!$B$5))</x:f>
      </x:c>
      <x:c r="R149" s="24" t="str">
        <x:f>IF(A149="","",MAX(0,MIN(100,Q149-IF(P149="No",'Assumptions'!$B$7,0))))</x:f>
      </x:c>
      <x:c r="S149" s="15" t="str">
        <x:f>IF(A149="","",IF(R149&gt;=80,"Strong",IF(R149&gt;=50,"Moderate","Weak")))</x:f>
      </x:c>
      <x:c r="T149" s="29" t="str">
        <x:f>IF(A149="","","Relative prototype score; not measured dBm")</x:f>
      </x:c>
    </x:row>
    <x:row r="150">
      <x:c r="A150" s="30"/>
      <x:c r="B150" s="15"/>
      <x:c r="C150" s="15"/>
      <x:c r="D150" s="15"/>
      <x:c r="E150" s="15"/>
      <x:c r="F150" s="15"/>
      <x:c r="G150" s="15"/>
      <x:c r="H150" s="15"/>
      <x:c r="I150" s="15"/>
      <x:c r="J150" s="15"/>
      <x:c r="K150" s="15"/>
      <x:c r="L150" s="23" t="str">
        <x:f>IF(A150="","",2*'Assumptions'!$B$4*ASIN(SQRT(SIN(RADIANS(F150-I150)/2)^2+COS(RADIANS(F150))*COS(RADIANS(I150))*SIN(RADIANS(G150-J150)/2)^2)))</x:f>
      </x:c>
      <x:c r="M150" s="23" t="str">
        <x:f>IF(A150="","",SQRT(L150^2+((H150*0.3048-K150)/1000)^2))</x:f>
      </x:c>
      <x:c r="N150" s="23" t="str">
        <x:f>IF(A150="","",32.45+20*LOG156(MAX(M150,0.001))+20*LOG156(E150))</x:f>
      </x:c>
      <x:c r="O150" s="23" t="str">
        <x:f>IF(A150="","",'Assumptions'!$B$8*(SQRT(MAX(H150*0.3048,0))+SQRT(MAX(K150,0))))</x:f>
      </x:c>
      <x:c r="P150" s="22" t="str">
        <x:f>IF(A150="","",IF(L150&lt;=O150,"Yes","No"))</x:f>
      </x:c>
      <x:c r="Q150" s="24" t="str">
        <x:f>IF(A150="","",100*('Assumptions'!$B$6-N150)/('Assumptions'!$B$6-'Assumptions'!$B$5))</x:f>
      </x:c>
      <x:c r="R150" s="24" t="str">
        <x:f>IF(A150="","",MAX(0,MIN(100,Q150-IF(P150="No",'Assumptions'!$B$7,0))))</x:f>
      </x:c>
      <x:c r="S150" s="15" t="str">
        <x:f>IF(A150="","",IF(R150&gt;=80,"Strong",IF(R150&gt;=50,"Moderate","Weak")))</x:f>
      </x:c>
      <x:c r="T150" s="29" t="str">
        <x:f>IF(A150="","","Relative prototype score; not measured dBm")</x:f>
      </x:c>
    </x:row>
    <x:row r="151">
      <x:c r="A151" s="30"/>
      <x:c r="B151" s="15"/>
      <x:c r="C151" s="15"/>
      <x:c r="D151" s="15"/>
      <x:c r="E151" s="15"/>
      <x:c r="F151" s="15"/>
      <x:c r="G151" s="15"/>
      <x:c r="H151" s="15"/>
      <x:c r="I151" s="15"/>
      <x:c r="J151" s="15"/>
      <x:c r="K151" s="15"/>
      <x:c r="L151" s="23" t="str">
        <x:f>IF(A151="","",2*'Assumptions'!$B$4*ASIN(SQRT(SIN(RADIANS(F151-I151)/2)^2+COS(RADIANS(F151))*COS(RADIANS(I151))*SIN(RADIANS(G151-J151)/2)^2)))</x:f>
      </x:c>
      <x:c r="M151" s="23" t="str">
        <x:f>IF(A151="","",SQRT(L151^2+((H151*0.3048-K151)/1000)^2))</x:f>
      </x:c>
      <x:c r="N151" s="23" t="str">
        <x:f>IF(A151="","",32.45+20*LOG157(MAX(M151,0.001))+20*LOG157(E151))</x:f>
      </x:c>
      <x:c r="O151" s="23" t="str">
        <x:f>IF(A151="","",'Assumptions'!$B$8*(SQRT(MAX(H151*0.3048,0))+SQRT(MAX(K151,0))))</x:f>
      </x:c>
      <x:c r="P151" s="22" t="str">
        <x:f>IF(A151="","",IF(L151&lt;=O151,"Yes","No"))</x:f>
      </x:c>
      <x:c r="Q151" s="24" t="str">
        <x:f>IF(A151="","",100*('Assumptions'!$B$6-N151)/('Assumptions'!$B$6-'Assumptions'!$B$5))</x:f>
      </x:c>
      <x:c r="R151" s="24" t="str">
        <x:f>IF(A151="","",MAX(0,MIN(100,Q151-IF(P151="No",'Assumptions'!$B$7,0))))</x:f>
      </x:c>
      <x:c r="S151" s="15" t="str">
        <x:f>IF(A151="","",IF(R151&gt;=80,"Strong",IF(R151&gt;=50,"Moderate","Weak")))</x:f>
      </x:c>
      <x:c r="T151" s="29" t="str">
        <x:f>IF(A151="","","Relative prototype score; not measured dBm")</x:f>
      </x:c>
    </x:row>
    <x:row r="152">
      <x:c r="A152" s="30"/>
      <x:c r="B152" s="15"/>
      <x:c r="C152" s="15"/>
      <x:c r="D152" s="15"/>
      <x:c r="E152" s="15"/>
      <x:c r="F152" s="15"/>
      <x:c r="G152" s="15"/>
      <x:c r="H152" s="15"/>
      <x:c r="I152" s="15"/>
      <x:c r="J152" s="15"/>
      <x:c r="K152" s="15"/>
      <x:c r="L152" s="23" t="str">
        <x:f>IF(A152="","",2*'Assumptions'!$B$4*ASIN(SQRT(SIN(RADIANS(F152-I152)/2)^2+COS(RADIANS(F152))*COS(RADIANS(I152))*SIN(RADIANS(G152-J152)/2)^2)))</x:f>
      </x:c>
      <x:c r="M152" s="23" t="str">
        <x:f>IF(A152="","",SQRT(L152^2+((H152*0.3048-K152)/1000)^2))</x:f>
      </x:c>
      <x:c r="N152" s="23" t="str">
        <x:f>IF(A152="","",32.45+20*LOG158(MAX(M152,0.001))+20*LOG158(E152))</x:f>
      </x:c>
      <x:c r="O152" s="23" t="str">
        <x:f>IF(A152="","",'Assumptions'!$B$8*(SQRT(MAX(H152*0.3048,0))+SQRT(MAX(K152,0))))</x:f>
      </x:c>
      <x:c r="P152" s="22" t="str">
        <x:f>IF(A152="","",IF(L152&lt;=O152,"Yes","No"))</x:f>
      </x:c>
      <x:c r="Q152" s="24" t="str">
        <x:f>IF(A152="","",100*('Assumptions'!$B$6-N152)/('Assumptions'!$B$6-'Assumptions'!$B$5))</x:f>
      </x:c>
      <x:c r="R152" s="24" t="str">
        <x:f>IF(A152="","",MAX(0,MIN(100,Q152-IF(P152="No",'Assumptions'!$B$7,0))))</x:f>
      </x:c>
      <x:c r="S152" s="15" t="str">
        <x:f>IF(A152="","",IF(R152&gt;=80,"Strong",IF(R152&gt;=50,"Moderate","Weak")))</x:f>
      </x:c>
      <x:c r="T152" s="29" t="str">
        <x:f>IF(A152="","","Relative prototype score; not measured dBm")</x:f>
      </x:c>
    </x:row>
    <x:row r="153">
      <x:c r="A153" s="30"/>
      <x:c r="B153" s="15"/>
      <x:c r="C153" s="15"/>
      <x:c r="D153" s="15"/>
      <x:c r="E153" s="15"/>
      <x:c r="F153" s="15"/>
      <x:c r="G153" s="15"/>
      <x:c r="H153" s="15"/>
      <x:c r="I153" s="15"/>
      <x:c r="J153" s="15"/>
      <x:c r="K153" s="15"/>
      <x:c r="L153" s="23" t="str">
        <x:f>IF(A153="","",2*'Assumptions'!$B$4*ASIN(SQRT(SIN(RADIANS(F153-I153)/2)^2+COS(RADIANS(F153))*COS(RADIANS(I153))*SIN(RADIANS(G153-J153)/2)^2)))</x:f>
      </x:c>
      <x:c r="M153" s="23" t="str">
        <x:f>IF(A153="","",SQRT(L153^2+((H153*0.3048-K153)/1000)^2))</x:f>
      </x:c>
      <x:c r="N153" s="23" t="str">
        <x:f>IF(A153="","",32.45+20*LOG159(MAX(M153,0.001))+20*LOG159(E153))</x:f>
      </x:c>
      <x:c r="O153" s="23" t="str">
        <x:f>IF(A153="","",'Assumptions'!$B$8*(SQRT(MAX(H153*0.3048,0))+SQRT(MAX(K153,0))))</x:f>
      </x:c>
      <x:c r="P153" s="22" t="str">
        <x:f>IF(A153="","",IF(L153&lt;=O153,"Yes","No"))</x:f>
      </x:c>
      <x:c r="Q153" s="24" t="str">
        <x:f>IF(A153="","",100*('Assumptions'!$B$6-N153)/('Assumptions'!$B$6-'Assumptions'!$B$5))</x:f>
      </x:c>
      <x:c r="R153" s="24" t="str">
        <x:f>IF(A153="","",MAX(0,MIN(100,Q153-IF(P153="No",'Assumptions'!$B$7,0))))</x:f>
      </x:c>
      <x:c r="S153" s="15" t="str">
        <x:f>IF(A153="","",IF(R153&gt;=80,"Strong",IF(R153&gt;=50,"Moderate","Weak")))</x:f>
      </x:c>
      <x:c r="T153" s="29" t="str">
        <x:f>IF(A153="","","Relative prototype score; not measured dBm")</x:f>
      </x:c>
    </x:row>
    <x:row r="154">
      <x:c r="A154" s="30"/>
      <x:c r="B154" s="15"/>
      <x:c r="C154" s="15"/>
      <x:c r="D154" s="15"/>
      <x:c r="E154" s="15"/>
      <x:c r="F154" s="15"/>
      <x:c r="G154" s="15"/>
      <x:c r="H154" s="15"/>
      <x:c r="I154" s="15"/>
      <x:c r="J154" s="15"/>
      <x:c r="K154" s="15"/>
      <x:c r="L154" s="23" t="str">
        <x:f>IF(A154="","",2*'Assumptions'!$B$4*ASIN(SQRT(SIN(RADIANS(F154-I154)/2)^2+COS(RADIANS(F154))*COS(RADIANS(I154))*SIN(RADIANS(G154-J154)/2)^2)))</x:f>
      </x:c>
      <x:c r="M154" s="23" t="str">
        <x:f>IF(A154="","",SQRT(L154^2+((H154*0.3048-K154)/1000)^2))</x:f>
      </x:c>
      <x:c r="N154" s="23" t="str">
        <x:f>IF(A154="","",32.45+20*LOG160(MAX(M154,0.001))+20*LOG160(E154))</x:f>
      </x:c>
      <x:c r="O154" s="23" t="str">
        <x:f>IF(A154="","",'Assumptions'!$B$8*(SQRT(MAX(H154*0.3048,0))+SQRT(MAX(K154,0))))</x:f>
      </x:c>
      <x:c r="P154" s="22" t="str">
        <x:f>IF(A154="","",IF(L154&lt;=O154,"Yes","No"))</x:f>
      </x:c>
      <x:c r="Q154" s="24" t="str">
        <x:f>IF(A154="","",100*('Assumptions'!$B$6-N154)/('Assumptions'!$B$6-'Assumptions'!$B$5))</x:f>
      </x:c>
      <x:c r="R154" s="24" t="str">
        <x:f>IF(A154="","",MAX(0,MIN(100,Q154-IF(P154="No",'Assumptions'!$B$7,0))))</x:f>
      </x:c>
      <x:c r="S154" s="15" t="str">
        <x:f>IF(A154="","",IF(R154&gt;=80,"Strong",IF(R154&gt;=50,"Moderate","Weak")))</x:f>
      </x:c>
      <x:c r="T154" s="29" t="str">
        <x:f>IF(A154="","","Relative prototype score; not measured dBm")</x:f>
      </x:c>
    </x:row>
    <x:row r="155">
      <x:c r="A155" s="30"/>
      <x:c r="B155" s="15"/>
      <x:c r="C155" s="15"/>
      <x:c r="D155" s="15"/>
      <x:c r="E155" s="15"/>
      <x:c r="F155" s="15"/>
      <x:c r="G155" s="15"/>
      <x:c r="H155" s="15"/>
      <x:c r="I155" s="15"/>
      <x:c r="J155" s="15"/>
      <x:c r="K155" s="15"/>
      <x:c r="L155" s="23" t="str">
        <x:f>IF(A155="","",2*'Assumptions'!$B$4*ASIN(SQRT(SIN(RADIANS(F155-I155)/2)^2+COS(RADIANS(F155))*COS(RADIANS(I155))*SIN(RADIANS(G155-J155)/2)^2)))</x:f>
      </x:c>
      <x:c r="M155" s="23" t="str">
        <x:f>IF(A155="","",SQRT(L155^2+((H155*0.3048-K155)/1000)^2))</x:f>
      </x:c>
      <x:c r="N155" s="23" t="str">
        <x:f>IF(A155="","",32.45+20*LOG161(MAX(M155,0.001))+20*LOG161(E155))</x:f>
      </x:c>
      <x:c r="O155" s="23" t="str">
        <x:f>IF(A155="","",'Assumptions'!$B$8*(SQRT(MAX(H155*0.3048,0))+SQRT(MAX(K155,0))))</x:f>
      </x:c>
      <x:c r="P155" s="22" t="str">
        <x:f>IF(A155="","",IF(L155&lt;=O155,"Yes","No"))</x:f>
      </x:c>
      <x:c r="Q155" s="24" t="str">
        <x:f>IF(A155="","",100*('Assumptions'!$B$6-N155)/('Assumptions'!$B$6-'Assumptions'!$B$5))</x:f>
      </x:c>
      <x:c r="R155" s="24" t="str">
        <x:f>IF(A155="","",MAX(0,MIN(100,Q155-IF(P155="No",'Assumptions'!$B$7,0))))</x:f>
      </x:c>
      <x:c r="S155" s="15" t="str">
        <x:f>IF(A155="","",IF(R155&gt;=80,"Strong",IF(R155&gt;=50,"Moderate","Weak")))</x:f>
      </x:c>
      <x:c r="T155" s="29" t="str">
        <x:f>IF(A155="","","Relative prototype score; not measured dBm")</x:f>
      </x:c>
    </x:row>
    <x:row r="156">
      <x:c r="A156" s="30"/>
      <x:c r="B156" s="15"/>
      <x:c r="C156" s="15"/>
      <x:c r="D156" s="15"/>
      <x:c r="E156" s="15"/>
      <x:c r="F156" s="15"/>
      <x:c r="G156" s="15"/>
      <x:c r="H156" s="15"/>
      <x:c r="I156" s="15"/>
      <x:c r="J156" s="15"/>
      <x:c r="K156" s="15"/>
      <x:c r="L156" s="23" t="str">
        <x:f>IF(A156="","",2*'Assumptions'!$B$4*ASIN(SQRT(SIN(RADIANS(F156-I156)/2)^2+COS(RADIANS(F156))*COS(RADIANS(I156))*SIN(RADIANS(G156-J156)/2)^2)))</x:f>
      </x:c>
      <x:c r="M156" s="23" t="str">
        <x:f>IF(A156="","",SQRT(L156^2+((H156*0.3048-K156)/1000)^2))</x:f>
      </x:c>
      <x:c r="N156" s="23" t="str">
        <x:f>IF(A156="","",32.45+20*LOG162(MAX(M156,0.001))+20*LOG162(E156))</x:f>
      </x:c>
      <x:c r="O156" s="23" t="str">
        <x:f>IF(A156="","",'Assumptions'!$B$8*(SQRT(MAX(H156*0.3048,0))+SQRT(MAX(K156,0))))</x:f>
      </x:c>
      <x:c r="P156" s="22" t="str">
        <x:f>IF(A156="","",IF(L156&lt;=O156,"Yes","No"))</x:f>
      </x:c>
      <x:c r="Q156" s="24" t="str">
        <x:f>IF(A156="","",100*('Assumptions'!$B$6-N156)/('Assumptions'!$B$6-'Assumptions'!$B$5))</x:f>
      </x:c>
      <x:c r="R156" s="24" t="str">
        <x:f>IF(A156="","",MAX(0,MIN(100,Q156-IF(P156="No",'Assumptions'!$B$7,0))))</x:f>
      </x:c>
      <x:c r="S156" s="15" t="str">
        <x:f>IF(A156="","",IF(R156&gt;=80,"Strong",IF(R156&gt;=50,"Moderate","Weak")))</x:f>
      </x:c>
      <x:c r="T156" s="29" t="str">
        <x:f>IF(A156="","","Relative prototype score; not measured dBm")</x:f>
      </x:c>
    </x:row>
    <x:row r="157">
      <x:c r="A157" s="30"/>
      <x:c r="B157" s="15"/>
      <x:c r="C157" s="15"/>
      <x:c r="D157" s="15"/>
      <x:c r="E157" s="15"/>
      <x:c r="F157" s="15"/>
      <x:c r="G157" s="15"/>
      <x:c r="H157" s="15"/>
      <x:c r="I157" s="15"/>
      <x:c r="J157" s="15"/>
      <x:c r="K157" s="15"/>
      <x:c r="L157" s="23" t="str">
        <x:f>IF(A157="","",2*'Assumptions'!$B$4*ASIN(SQRT(SIN(RADIANS(F157-I157)/2)^2+COS(RADIANS(F157))*COS(RADIANS(I157))*SIN(RADIANS(G157-J157)/2)^2)))</x:f>
      </x:c>
      <x:c r="M157" s="23" t="str">
        <x:f>IF(A157="","",SQRT(L157^2+((H157*0.3048-K157)/1000)^2))</x:f>
      </x:c>
      <x:c r="N157" s="23" t="str">
        <x:f>IF(A157="","",32.45+20*LOG163(MAX(M157,0.001))+20*LOG163(E157))</x:f>
      </x:c>
      <x:c r="O157" s="23" t="str">
        <x:f>IF(A157="","",'Assumptions'!$B$8*(SQRT(MAX(H157*0.3048,0))+SQRT(MAX(K157,0))))</x:f>
      </x:c>
      <x:c r="P157" s="22" t="str">
        <x:f>IF(A157="","",IF(L157&lt;=O157,"Yes","No"))</x:f>
      </x:c>
      <x:c r="Q157" s="24" t="str">
        <x:f>IF(A157="","",100*('Assumptions'!$B$6-N157)/('Assumptions'!$B$6-'Assumptions'!$B$5))</x:f>
      </x:c>
      <x:c r="R157" s="24" t="str">
        <x:f>IF(A157="","",MAX(0,MIN(100,Q157-IF(P157="No",'Assumptions'!$B$7,0))))</x:f>
      </x:c>
      <x:c r="S157" s="15" t="str">
        <x:f>IF(A157="","",IF(R157&gt;=80,"Strong",IF(R157&gt;=50,"Moderate","Weak")))</x:f>
      </x:c>
      <x:c r="T157" s="29" t="str">
        <x:f>IF(A157="","","Relative prototype score; not measured dBm")</x:f>
      </x:c>
    </x:row>
    <x:row r="158">
      <x:c r="A158" s="30"/>
      <x:c r="B158" s="15"/>
      <x:c r="C158" s="15"/>
      <x:c r="D158" s="15"/>
      <x:c r="E158" s="15"/>
      <x:c r="F158" s="15"/>
      <x:c r="G158" s="15"/>
      <x:c r="H158" s="15"/>
      <x:c r="I158" s="15"/>
      <x:c r="J158" s="15"/>
      <x:c r="K158" s="15"/>
      <x:c r="L158" s="23" t="str">
        <x:f>IF(A158="","",2*'Assumptions'!$B$4*ASIN(SQRT(SIN(RADIANS(F158-I158)/2)^2+COS(RADIANS(F158))*COS(RADIANS(I158))*SIN(RADIANS(G158-J158)/2)^2)))</x:f>
      </x:c>
      <x:c r="M158" s="23" t="str">
        <x:f>IF(A158="","",SQRT(L158^2+((H158*0.3048-K158)/1000)^2))</x:f>
      </x:c>
      <x:c r="N158" s="23" t="str">
        <x:f>IF(A158="","",32.45+20*LOG164(MAX(M158,0.001))+20*LOG164(E158))</x:f>
      </x:c>
      <x:c r="O158" s="23" t="str">
        <x:f>IF(A158="","",'Assumptions'!$B$8*(SQRT(MAX(H158*0.3048,0))+SQRT(MAX(K158,0))))</x:f>
      </x:c>
      <x:c r="P158" s="22" t="str">
        <x:f>IF(A158="","",IF(L158&lt;=O158,"Yes","No"))</x:f>
      </x:c>
      <x:c r="Q158" s="24" t="str">
        <x:f>IF(A158="","",100*('Assumptions'!$B$6-N158)/('Assumptions'!$B$6-'Assumptions'!$B$5))</x:f>
      </x:c>
      <x:c r="R158" s="24" t="str">
        <x:f>IF(A158="","",MAX(0,MIN(100,Q158-IF(P158="No",'Assumptions'!$B$7,0))))</x:f>
      </x:c>
      <x:c r="S158" s="15" t="str">
        <x:f>IF(A158="","",IF(R158&gt;=80,"Strong",IF(R158&gt;=50,"Moderate","Weak")))</x:f>
      </x:c>
      <x:c r="T158" s="29" t="str">
        <x:f>IF(A158="","","Relative prototype score; not measured dBm")</x:f>
      </x:c>
    </x:row>
    <x:row r="159">
      <x:c r="A159" s="30"/>
      <x:c r="B159" s="15"/>
      <x:c r="C159" s="15"/>
      <x:c r="D159" s="15"/>
      <x:c r="E159" s="15"/>
      <x:c r="F159" s="15"/>
      <x:c r="G159" s="15"/>
      <x:c r="H159" s="15"/>
      <x:c r="I159" s="15"/>
      <x:c r="J159" s="15"/>
      <x:c r="K159" s="15"/>
      <x:c r="L159" s="23" t="str">
        <x:f>IF(A159="","",2*'Assumptions'!$B$4*ASIN(SQRT(SIN(RADIANS(F159-I159)/2)^2+COS(RADIANS(F159))*COS(RADIANS(I159))*SIN(RADIANS(G159-J159)/2)^2)))</x:f>
      </x:c>
      <x:c r="M159" s="23" t="str">
        <x:f>IF(A159="","",SQRT(L159^2+((H159*0.3048-K159)/1000)^2))</x:f>
      </x:c>
      <x:c r="N159" s="23" t="str">
        <x:f>IF(A159="","",32.45+20*LOG165(MAX(M159,0.001))+20*LOG165(E159))</x:f>
      </x:c>
      <x:c r="O159" s="23" t="str">
        <x:f>IF(A159="","",'Assumptions'!$B$8*(SQRT(MAX(H159*0.3048,0))+SQRT(MAX(K159,0))))</x:f>
      </x:c>
      <x:c r="P159" s="22" t="str">
        <x:f>IF(A159="","",IF(L159&lt;=O159,"Yes","No"))</x:f>
      </x:c>
      <x:c r="Q159" s="24" t="str">
        <x:f>IF(A159="","",100*('Assumptions'!$B$6-N159)/('Assumptions'!$B$6-'Assumptions'!$B$5))</x:f>
      </x:c>
      <x:c r="R159" s="24" t="str">
        <x:f>IF(A159="","",MAX(0,MIN(100,Q159-IF(P159="No",'Assumptions'!$B$7,0))))</x:f>
      </x:c>
      <x:c r="S159" s="15" t="str">
        <x:f>IF(A159="","",IF(R159&gt;=80,"Strong",IF(R159&gt;=50,"Moderate","Weak")))</x:f>
      </x:c>
      <x:c r="T159" s="29" t="str">
        <x:f>IF(A159="","","Relative prototype score; not measured dBm")</x:f>
      </x:c>
    </x:row>
    <x:row r="160">
      <x:c r="A160" s="30"/>
      <x:c r="B160" s="15"/>
      <x:c r="C160" s="15"/>
      <x:c r="D160" s="15"/>
      <x:c r="E160" s="15"/>
      <x:c r="F160" s="15"/>
      <x:c r="G160" s="15"/>
      <x:c r="H160" s="15"/>
      <x:c r="I160" s="15"/>
      <x:c r="J160" s="15"/>
      <x:c r="K160" s="15"/>
      <x:c r="L160" s="23" t="str">
        <x:f>IF(A160="","",2*'Assumptions'!$B$4*ASIN(SQRT(SIN(RADIANS(F160-I160)/2)^2+COS(RADIANS(F160))*COS(RADIANS(I160))*SIN(RADIANS(G160-J160)/2)^2)))</x:f>
      </x:c>
      <x:c r="M160" s="23" t="str">
        <x:f>IF(A160="","",SQRT(L160^2+((H160*0.3048-K160)/1000)^2))</x:f>
      </x:c>
      <x:c r="N160" s="23" t="str">
        <x:f>IF(A160="","",32.45+20*LOG166(MAX(M160,0.001))+20*LOG166(E160))</x:f>
      </x:c>
      <x:c r="O160" s="23" t="str">
        <x:f>IF(A160="","",'Assumptions'!$B$8*(SQRT(MAX(H160*0.3048,0))+SQRT(MAX(K160,0))))</x:f>
      </x:c>
      <x:c r="P160" s="22" t="str">
        <x:f>IF(A160="","",IF(L160&lt;=O160,"Yes","No"))</x:f>
      </x:c>
      <x:c r="Q160" s="24" t="str">
        <x:f>IF(A160="","",100*('Assumptions'!$B$6-N160)/('Assumptions'!$B$6-'Assumptions'!$B$5))</x:f>
      </x:c>
      <x:c r="R160" s="24" t="str">
        <x:f>IF(A160="","",MAX(0,MIN(100,Q160-IF(P160="No",'Assumptions'!$B$7,0))))</x:f>
      </x:c>
      <x:c r="S160" s="15" t="str">
        <x:f>IF(A160="","",IF(R160&gt;=80,"Strong",IF(R160&gt;=50,"Moderate","Weak")))</x:f>
      </x:c>
      <x:c r="T160" s="29" t="str">
        <x:f>IF(A160="","","Relative prototype score; not measured dBm")</x:f>
      </x:c>
    </x:row>
    <x:row r="161">
      <x:c r="A161" s="30"/>
      <x:c r="B161" s="15"/>
      <x:c r="C161" s="15"/>
      <x:c r="D161" s="15"/>
      <x:c r="E161" s="15"/>
      <x:c r="F161" s="15"/>
      <x:c r="G161" s="15"/>
      <x:c r="H161" s="15"/>
      <x:c r="I161" s="15"/>
      <x:c r="J161" s="15"/>
      <x:c r="K161" s="15"/>
      <x:c r="L161" s="23" t="str">
        <x:f>IF(A161="","",2*'Assumptions'!$B$4*ASIN(SQRT(SIN(RADIANS(F161-I161)/2)^2+COS(RADIANS(F161))*COS(RADIANS(I161))*SIN(RADIANS(G161-J161)/2)^2)))</x:f>
      </x:c>
      <x:c r="M161" s="23" t="str">
        <x:f>IF(A161="","",SQRT(L161^2+((H161*0.3048-K161)/1000)^2))</x:f>
      </x:c>
      <x:c r="N161" s="23" t="str">
        <x:f>IF(A161="","",32.45+20*LOG167(MAX(M161,0.001))+20*LOG167(E161))</x:f>
      </x:c>
      <x:c r="O161" s="23" t="str">
        <x:f>IF(A161="","",'Assumptions'!$B$8*(SQRT(MAX(H161*0.3048,0))+SQRT(MAX(K161,0))))</x:f>
      </x:c>
      <x:c r="P161" s="22" t="str">
        <x:f>IF(A161="","",IF(L161&lt;=O161,"Yes","No"))</x:f>
      </x:c>
      <x:c r="Q161" s="24" t="str">
        <x:f>IF(A161="","",100*('Assumptions'!$B$6-N161)/('Assumptions'!$B$6-'Assumptions'!$B$5))</x:f>
      </x:c>
      <x:c r="R161" s="24" t="str">
        <x:f>IF(A161="","",MAX(0,MIN(100,Q161-IF(P161="No",'Assumptions'!$B$7,0))))</x:f>
      </x:c>
      <x:c r="S161" s="15" t="str">
        <x:f>IF(A161="","",IF(R161&gt;=80,"Strong",IF(R161&gt;=50,"Moderate","Weak")))</x:f>
      </x:c>
      <x:c r="T161" s="29" t="str">
        <x:f>IF(A161="","","Relative prototype score; not measured dBm")</x:f>
      </x:c>
    </x:row>
    <x:row r="162">
      <x:c r="A162" s="30"/>
      <x:c r="B162" s="15"/>
      <x:c r="C162" s="15"/>
      <x:c r="D162" s="15"/>
      <x:c r="E162" s="15"/>
      <x:c r="F162" s="15"/>
      <x:c r="G162" s="15"/>
      <x:c r="H162" s="15"/>
      <x:c r="I162" s="15"/>
      <x:c r="J162" s="15"/>
      <x:c r="K162" s="15"/>
      <x:c r="L162" s="23" t="str">
        <x:f>IF(A162="","",2*'Assumptions'!$B$4*ASIN(SQRT(SIN(RADIANS(F162-I162)/2)^2+COS(RADIANS(F162))*COS(RADIANS(I162))*SIN(RADIANS(G162-J162)/2)^2)))</x:f>
      </x:c>
      <x:c r="M162" s="23" t="str">
        <x:f>IF(A162="","",SQRT(L162^2+((H162*0.3048-K162)/1000)^2))</x:f>
      </x:c>
      <x:c r="N162" s="23" t="str">
        <x:f>IF(A162="","",32.45+20*LOG168(MAX(M162,0.001))+20*LOG168(E162))</x:f>
      </x:c>
      <x:c r="O162" s="23" t="str">
        <x:f>IF(A162="","",'Assumptions'!$B$8*(SQRT(MAX(H162*0.3048,0))+SQRT(MAX(K162,0))))</x:f>
      </x:c>
      <x:c r="P162" s="22" t="str">
        <x:f>IF(A162="","",IF(L162&lt;=O162,"Yes","No"))</x:f>
      </x:c>
      <x:c r="Q162" s="24" t="str">
        <x:f>IF(A162="","",100*('Assumptions'!$B$6-N162)/('Assumptions'!$B$6-'Assumptions'!$B$5))</x:f>
      </x:c>
      <x:c r="R162" s="24" t="str">
        <x:f>IF(A162="","",MAX(0,MIN(100,Q162-IF(P162="No",'Assumptions'!$B$7,0))))</x:f>
      </x:c>
      <x:c r="S162" s="15" t="str">
        <x:f>IF(A162="","",IF(R162&gt;=80,"Strong",IF(R162&gt;=50,"Moderate","Weak")))</x:f>
      </x:c>
      <x:c r="T162" s="29" t="str">
        <x:f>IF(A162="","","Relative prototype score; not measured dBm")</x:f>
      </x:c>
    </x:row>
    <x:row r="163">
      <x:c r="A163" s="30"/>
      <x:c r="B163" s="15"/>
      <x:c r="C163" s="15"/>
      <x:c r="D163" s="15"/>
      <x:c r="E163" s="15"/>
      <x:c r="F163" s="15"/>
      <x:c r="G163" s="15"/>
      <x:c r="H163" s="15"/>
      <x:c r="I163" s="15"/>
      <x:c r="J163" s="15"/>
      <x:c r="K163" s="15"/>
      <x:c r="L163" s="23" t="str">
        <x:f>IF(A163="","",2*'Assumptions'!$B$4*ASIN(SQRT(SIN(RADIANS(F163-I163)/2)^2+COS(RADIANS(F163))*COS(RADIANS(I163))*SIN(RADIANS(G163-J163)/2)^2)))</x:f>
      </x:c>
      <x:c r="M163" s="23" t="str">
        <x:f>IF(A163="","",SQRT(L163^2+((H163*0.3048-K163)/1000)^2))</x:f>
      </x:c>
      <x:c r="N163" s="23" t="str">
        <x:f>IF(A163="","",32.45+20*LOG169(MAX(M163,0.001))+20*LOG169(E163))</x:f>
      </x:c>
      <x:c r="O163" s="23" t="str">
        <x:f>IF(A163="","",'Assumptions'!$B$8*(SQRT(MAX(H163*0.3048,0))+SQRT(MAX(K163,0))))</x:f>
      </x:c>
      <x:c r="P163" s="22" t="str">
        <x:f>IF(A163="","",IF(L163&lt;=O163,"Yes","No"))</x:f>
      </x:c>
      <x:c r="Q163" s="24" t="str">
        <x:f>IF(A163="","",100*('Assumptions'!$B$6-N163)/('Assumptions'!$B$6-'Assumptions'!$B$5))</x:f>
      </x:c>
      <x:c r="R163" s="24" t="str">
        <x:f>IF(A163="","",MAX(0,MIN(100,Q163-IF(P163="No",'Assumptions'!$B$7,0))))</x:f>
      </x:c>
      <x:c r="S163" s="15" t="str">
        <x:f>IF(A163="","",IF(R163&gt;=80,"Strong",IF(R163&gt;=50,"Moderate","Weak")))</x:f>
      </x:c>
      <x:c r="T163" s="29" t="str">
        <x:f>IF(A163="","","Relative prototype score; not measured dBm")</x:f>
      </x:c>
    </x:row>
    <x:row r="164">
      <x:c r="A164" s="30"/>
      <x:c r="B164" s="15"/>
      <x:c r="C164" s="15"/>
      <x:c r="D164" s="15"/>
      <x:c r="E164" s="15"/>
      <x:c r="F164" s="15"/>
      <x:c r="G164" s="15"/>
      <x:c r="H164" s="15"/>
      <x:c r="I164" s="15"/>
      <x:c r="J164" s="15"/>
      <x:c r="K164" s="15"/>
      <x:c r="L164" s="23" t="str">
        <x:f>IF(A164="","",2*'Assumptions'!$B$4*ASIN(SQRT(SIN(RADIANS(F164-I164)/2)^2+COS(RADIANS(F164))*COS(RADIANS(I164))*SIN(RADIANS(G164-J164)/2)^2)))</x:f>
      </x:c>
      <x:c r="M164" s="23" t="str">
        <x:f>IF(A164="","",SQRT(L164^2+((H164*0.3048-K164)/1000)^2))</x:f>
      </x:c>
      <x:c r="N164" s="23" t="str">
        <x:f>IF(A164="","",32.45+20*LOG170(MAX(M164,0.001))+20*LOG170(E164))</x:f>
      </x:c>
      <x:c r="O164" s="23" t="str">
        <x:f>IF(A164="","",'Assumptions'!$B$8*(SQRT(MAX(H164*0.3048,0))+SQRT(MAX(K164,0))))</x:f>
      </x:c>
      <x:c r="P164" s="22" t="str">
        <x:f>IF(A164="","",IF(L164&lt;=O164,"Yes","No"))</x:f>
      </x:c>
      <x:c r="Q164" s="24" t="str">
        <x:f>IF(A164="","",100*('Assumptions'!$B$6-N164)/('Assumptions'!$B$6-'Assumptions'!$B$5))</x:f>
      </x:c>
      <x:c r="R164" s="24" t="str">
        <x:f>IF(A164="","",MAX(0,MIN(100,Q164-IF(P164="No",'Assumptions'!$B$7,0))))</x:f>
      </x:c>
      <x:c r="S164" s="15" t="str">
        <x:f>IF(A164="","",IF(R164&gt;=80,"Strong",IF(R164&gt;=50,"Moderate","Weak")))</x:f>
      </x:c>
      <x:c r="T164" s="29" t="str">
        <x:f>IF(A164="","","Relative prototype score; not measured dBm")</x:f>
      </x:c>
    </x:row>
    <x:row r="165">
      <x:c r="A165" s="30"/>
      <x:c r="B165" s="15"/>
      <x:c r="C165" s="15"/>
      <x:c r="D165" s="15"/>
      <x:c r="E165" s="15"/>
      <x:c r="F165" s="15"/>
      <x:c r="G165" s="15"/>
      <x:c r="H165" s="15"/>
      <x:c r="I165" s="15"/>
      <x:c r="J165" s="15"/>
      <x:c r="K165" s="15"/>
      <x:c r="L165" s="23" t="str">
        <x:f>IF(A165="","",2*'Assumptions'!$B$4*ASIN(SQRT(SIN(RADIANS(F165-I165)/2)^2+COS(RADIANS(F165))*COS(RADIANS(I165))*SIN(RADIANS(G165-J165)/2)^2)))</x:f>
      </x:c>
      <x:c r="M165" s="23" t="str">
        <x:f>IF(A165="","",SQRT(L165^2+((H165*0.3048-K165)/1000)^2))</x:f>
      </x:c>
      <x:c r="N165" s="23" t="str">
        <x:f>IF(A165="","",32.45+20*LOG171(MAX(M165,0.001))+20*LOG171(E165))</x:f>
      </x:c>
      <x:c r="O165" s="23" t="str">
        <x:f>IF(A165="","",'Assumptions'!$B$8*(SQRT(MAX(H165*0.3048,0))+SQRT(MAX(K165,0))))</x:f>
      </x:c>
      <x:c r="P165" s="22" t="str">
        <x:f>IF(A165="","",IF(L165&lt;=O165,"Yes","No"))</x:f>
      </x:c>
      <x:c r="Q165" s="24" t="str">
        <x:f>IF(A165="","",100*('Assumptions'!$B$6-N165)/('Assumptions'!$B$6-'Assumptions'!$B$5))</x:f>
      </x:c>
      <x:c r="R165" s="24" t="str">
        <x:f>IF(A165="","",MAX(0,MIN(100,Q165-IF(P165="No",'Assumptions'!$B$7,0))))</x:f>
      </x:c>
      <x:c r="S165" s="15" t="str">
        <x:f>IF(A165="","",IF(R165&gt;=80,"Strong",IF(R165&gt;=50,"Moderate","Weak")))</x:f>
      </x:c>
      <x:c r="T165" s="29" t="str">
        <x:f>IF(A165="","","Relative prototype score; not measured dBm")</x:f>
      </x:c>
    </x:row>
    <x:row r="166">
      <x:c r="A166" s="30"/>
      <x:c r="B166" s="15"/>
      <x:c r="C166" s="15"/>
      <x:c r="D166" s="15"/>
      <x:c r="E166" s="15"/>
      <x:c r="F166" s="15"/>
      <x:c r="G166" s="15"/>
      <x:c r="H166" s="15"/>
      <x:c r="I166" s="15"/>
      <x:c r="J166" s="15"/>
      <x:c r="K166" s="15"/>
      <x:c r="L166" s="23" t="str">
        <x:f>IF(A166="","",2*'Assumptions'!$B$4*ASIN(SQRT(SIN(RADIANS(F166-I166)/2)^2+COS(RADIANS(F166))*COS(RADIANS(I166))*SIN(RADIANS(G166-J166)/2)^2)))</x:f>
      </x:c>
      <x:c r="M166" s="23" t="str">
        <x:f>IF(A166="","",SQRT(L166^2+((H166*0.3048-K166)/1000)^2))</x:f>
      </x:c>
      <x:c r="N166" s="23" t="str">
        <x:f>IF(A166="","",32.45+20*LOG172(MAX(M166,0.001))+20*LOG172(E166))</x:f>
      </x:c>
      <x:c r="O166" s="23" t="str">
        <x:f>IF(A166="","",'Assumptions'!$B$8*(SQRT(MAX(H166*0.3048,0))+SQRT(MAX(K166,0))))</x:f>
      </x:c>
      <x:c r="P166" s="22" t="str">
        <x:f>IF(A166="","",IF(L166&lt;=O166,"Yes","No"))</x:f>
      </x:c>
      <x:c r="Q166" s="24" t="str">
        <x:f>IF(A166="","",100*('Assumptions'!$B$6-N166)/('Assumptions'!$B$6-'Assumptions'!$B$5))</x:f>
      </x:c>
      <x:c r="R166" s="24" t="str">
        <x:f>IF(A166="","",MAX(0,MIN(100,Q166-IF(P166="No",'Assumptions'!$B$7,0))))</x:f>
      </x:c>
      <x:c r="S166" s="15" t="str">
        <x:f>IF(A166="","",IF(R166&gt;=80,"Strong",IF(R166&gt;=50,"Moderate","Weak")))</x:f>
      </x:c>
      <x:c r="T166" s="29" t="str">
        <x:f>IF(A166="","","Relative prototype score; not measured dBm")</x:f>
      </x:c>
    </x:row>
    <x:row r="167">
      <x:c r="A167" s="30"/>
      <x:c r="B167" s="15"/>
      <x:c r="C167" s="15"/>
      <x:c r="D167" s="15"/>
      <x:c r="E167" s="15"/>
      <x:c r="F167" s="15"/>
      <x:c r="G167" s="15"/>
      <x:c r="H167" s="15"/>
      <x:c r="I167" s="15"/>
      <x:c r="J167" s="15"/>
      <x:c r="K167" s="15"/>
      <x:c r="L167" s="23" t="str">
        <x:f>IF(A167="","",2*'Assumptions'!$B$4*ASIN(SQRT(SIN(RADIANS(F167-I167)/2)^2+COS(RADIANS(F167))*COS(RADIANS(I167))*SIN(RADIANS(G167-J167)/2)^2)))</x:f>
      </x:c>
      <x:c r="M167" s="23" t="str">
        <x:f>IF(A167="","",SQRT(L167^2+((H167*0.3048-K167)/1000)^2))</x:f>
      </x:c>
      <x:c r="N167" s="23" t="str">
        <x:f>IF(A167="","",32.45+20*LOG173(MAX(M167,0.001))+20*LOG173(E167))</x:f>
      </x:c>
      <x:c r="O167" s="23" t="str">
        <x:f>IF(A167="","",'Assumptions'!$B$8*(SQRT(MAX(H167*0.3048,0))+SQRT(MAX(K167,0))))</x:f>
      </x:c>
      <x:c r="P167" s="22" t="str">
        <x:f>IF(A167="","",IF(L167&lt;=O167,"Yes","No"))</x:f>
      </x:c>
      <x:c r="Q167" s="24" t="str">
        <x:f>IF(A167="","",100*('Assumptions'!$B$6-N167)/('Assumptions'!$B$6-'Assumptions'!$B$5))</x:f>
      </x:c>
      <x:c r="R167" s="24" t="str">
        <x:f>IF(A167="","",MAX(0,MIN(100,Q167-IF(P167="No",'Assumptions'!$B$7,0))))</x:f>
      </x:c>
      <x:c r="S167" s="15" t="str">
        <x:f>IF(A167="","",IF(R167&gt;=80,"Strong",IF(R167&gt;=50,"Moderate","Weak")))</x:f>
      </x:c>
      <x:c r="T167" s="29" t="str">
        <x:f>IF(A167="","","Relative prototype score; not measured dBm")</x:f>
      </x:c>
    </x:row>
    <x:row r="168">
      <x:c r="A168" s="30"/>
      <x:c r="B168" s="15"/>
      <x:c r="C168" s="15"/>
      <x:c r="D168" s="15"/>
      <x:c r="E168" s="15"/>
      <x:c r="F168" s="15"/>
      <x:c r="G168" s="15"/>
      <x:c r="H168" s="15"/>
      <x:c r="I168" s="15"/>
      <x:c r="J168" s="15"/>
      <x:c r="K168" s="15"/>
      <x:c r="L168" s="23" t="str">
        <x:f>IF(A168="","",2*'Assumptions'!$B$4*ASIN(SQRT(SIN(RADIANS(F168-I168)/2)^2+COS(RADIANS(F168))*COS(RADIANS(I168))*SIN(RADIANS(G168-J168)/2)^2)))</x:f>
      </x:c>
      <x:c r="M168" s="23" t="str">
        <x:f>IF(A168="","",SQRT(L168^2+((H168*0.3048-K168)/1000)^2))</x:f>
      </x:c>
      <x:c r="N168" s="23" t="str">
        <x:f>IF(A168="","",32.45+20*LOG174(MAX(M168,0.001))+20*LOG174(E168))</x:f>
      </x:c>
      <x:c r="O168" s="23" t="str">
        <x:f>IF(A168="","",'Assumptions'!$B$8*(SQRT(MAX(H168*0.3048,0))+SQRT(MAX(K168,0))))</x:f>
      </x:c>
      <x:c r="P168" s="22" t="str">
        <x:f>IF(A168="","",IF(L168&lt;=O168,"Yes","No"))</x:f>
      </x:c>
      <x:c r="Q168" s="24" t="str">
        <x:f>IF(A168="","",100*('Assumptions'!$B$6-N168)/('Assumptions'!$B$6-'Assumptions'!$B$5))</x:f>
      </x:c>
      <x:c r="R168" s="24" t="str">
        <x:f>IF(A168="","",MAX(0,MIN(100,Q168-IF(P168="No",'Assumptions'!$B$7,0))))</x:f>
      </x:c>
      <x:c r="S168" s="15" t="str">
        <x:f>IF(A168="","",IF(R168&gt;=80,"Strong",IF(R168&gt;=50,"Moderate","Weak")))</x:f>
      </x:c>
      <x:c r="T168" s="29" t="str">
        <x:f>IF(A168="","","Relative prototype score; not measured dBm")</x:f>
      </x:c>
    </x:row>
    <x:row r="169">
      <x:c r="A169" s="30"/>
      <x:c r="B169" s="15"/>
      <x:c r="C169" s="15"/>
      <x:c r="D169" s="15"/>
      <x:c r="E169" s="15"/>
      <x:c r="F169" s="15"/>
      <x:c r="G169" s="15"/>
      <x:c r="H169" s="15"/>
      <x:c r="I169" s="15"/>
      <x:c r="J169" s="15"/>
      <x:c r="K169" s="15"/>
      <x:c r="L169" s="23" t="str">
        <x:f>IF(A169="","",2*'Assumptions'!$B$4*ASIN(SQRT(SIN(RADIANS(F169-I169)/2)^2+COS(RADIANS(F169))*COS(RADIANS(I169))*SIN(RADIANS(G169-J169)/2)^2)))</x:f>
      </x:c>
      <x:c r="M169" s="23" t="str">
        <x:f>IF(A169="","",SQRT(L169^2+((H169*0.3048-K169)/1000)^2))</x:f>
      </x:c>
      <x:c r="N169" s="23" t="str">
        <x:f>IF(A169="","",32.45+20*LOG175(MAX(M169,0.001))+20*LOG175(E169))</x:f>
      </x:c>
      <x:c r="O169" s="23" t="str">
        <x:f>IF(A169="","",'Assumptions'!$B$8*(SQRT(MAX(H169*0.3048,0))+SQRT(MAX(K169,0))))</x:f>
      </x:c>
      <x:c r="P169" s="22" t="str">
        <x:f>IF(A169="","",IF(L169&lt;=O169,"Yes","No"))</x:f>
      </x:c>
      <x:c r="Q169" s="24" t="str">
        <x:f>IF(A169="","",100*('Assumptions'!$B$6-N169)/('Assumptions'!$B$6-'Assumptions'!$B$5))</x:f>
      </x:c>
      <x:c r="R169" s="24" t="str">
        <x:f>IF(A169="","",MAX(0,MIN(100,Q169-IF(P169="No",'Assumptions'!$B$7,0))))</x:f>
      </x:c>
      <x:c r="S169" s="15" t="str">
        <x:f>IF(A169="","",IF(R169&gt;=80,"Strong",IF(R169&gt;=50,"Moderate","Weak")))</x:f>
      </x:c>
      <x:c r="T169" s="29" t="str">
        <x:f>IF(A169="","","Relative prototype score; not measured dBm")</x:f>
      </x:c>
    </x:row>
    <x:row r="170">
      <x:c r="A170" s="30"/>
      <x:c r="B170" s="15"/>
      <x:c r="C170" s="15"/>
      <x:c r="D170" s="15"/>
      <x:c r="E170" s="15"/>
      <x:c r="F170" s="15"/>
      <x:c r="G170" s="15"/>
      <x:c r="H170" s="15"/>
      <x:c r="I170" s="15"/>
      <x:c r="J170" s="15"/>
      <x:c r="K170" s="15"/>
      <x:c r="L170" s="23" t="str">
        <x:f>IF(A170="","",2*'Assumptions'!$B$4*ASIN(SQRT(SIN(RADIANS(F170-I170)/2)^2+COS(RADIANS(F170))*COS(RADIANS(I170))*SIN(RADIANS(G170-J170)/2)^2)))</x:f>
      </x:c>
      <x:c r="M170" s="23" t="str">
        <x:f>IF(A170="","",SQRT(L170^2+((H170*0.3048-K170)/1000)^2))</x:f>
      </x:c>
      <x:c r="N170" s="23" t="str">
        <x:f>IF(A170="","",32.45+20*LOG176(MAX(M170,0.001))+20*LOG176(E170))</x:f>
      </x:c>
      <x:c r="O170" s="23" t="str">
        <x:f>IF(A170="","",'Assumptions'!$B$8*(SQRT(MAX(H170*0.3048,0))+SQRT(MAX(K170,0))))</x:f>
      </x:c>
      <x:c r="P170" s="22" t="str">
        <x:f>IF(A170="","",IF(L170&lt;=O170,"Yes","No"))</x:f>
      </x:c>
      <x:c r="Q170" s="24" t="str">
        <x:f>IF(A170="","",100*('Assumptions'!$B$6-N170)/('Assumptions'!$B$6-'Assumptions'!$B$5))</x:f>
      </x:c>
      <x:c r="R170" s="24" t="str">
        <x:f>IF(A170="","",MAX(0,MIN(100,Q170-IF(P170="No",'Assumptions'!$B$7,0))))</x:f>
      </x:c>
      <x:c r="S170" s="15" t="str">
        <x:f>IF(A170="","",IF(R170&gt;=80,"Strong",IF(R170&gt;=50,"Moderate","Weak")))</x:f>
      </x:c>
      <x:c r="T170" s="29" t="str">
        <x:f>IF(A170="","","Relative prototype score; not measured dBm")</x:f>
      </x:c>
    </x:row>
    <x:row r="171">
      <x:c r="A171" s="30"/>
      <x:c r="B171" s="15"/>
      <x:c r="C171" s="15"/>
      <x:c r="D171" s="15"/>
      <x:c r="E171" s="15"/>
      <x:c r="F171" s="15"/>
      <x:c r="G171" s="15"/>
      <x:c r="H171" s="15"/>
      <x:c r="I171" s="15"/>
      <x:c r="J171" s="15"/>
      <x:c r="K171" s="15"/>
      <x:c r="L171" s="23" t="str">
        <x:f>IF(A171="","",2*'Assumptions'!$B$4*ASIN(SQRT(SIN(RADIANS(F171-I171)/2)^2+COS(RADIANS(F171))*COS(RADIANS(I171))*SIN(RADIANS(G171-J171)/2)^2)))</x:f>
      </x:c>
      <x:c r="M171" s="23" t="str">
        <x:f>IF(A171="","",SQRT(L171^2+((H171*0.3048-K171)/1000)^2))</x:f>
      </x:c>
      <x:c r="N171" s="23" t="str">
        <x:f>IF(A171="","",32.45+20*LOG177(MAX(M171,0.001))+20*LOG177(E171))</x:f>
      </x:c>
      <x:c r="O171" s="23" t="str">
        <x:f>IF(A171="","",'Assumptions'!$B$8*(SQRT(MAX(H171*0.3048,0))+SQRT(MAX(K171,0))))</x:f>
      </x:c>
      <x:c r="P171" s="22" t="str">
        <x:f>IF(A171="","",IF(L171&lt;=O171,"Yes","No"))</x:f>
      </x:c>
      <x:c r="Q171" s="24" t="str">
        <x:f>IF(A171="","",100*('Assumptions'!$B$6-N171)/('Assumptions'!$B$6-'Assumptions'!$B$5))</x:f>
      </x:c>
      <x:c r="R171" s="24" t="str">
        <x:f>IF(A171="","",MAX(0,MIN(100,Q171-IF(P171="No",'Assumptions'!$B$7,0))))</x:f>
      </x:c>
      <x:c r="S171" s="15" t="str">
        <x:f>IF(A171="","",IF(R171&gt;=80,"Strong",IF(R171&gt;=50,"Moderate","Weak")))</x:f>
      </x:c>
      <x:c r="T171" s="29" t="str">
        <x:f>IF(A171="","","Relative prototype score; not measured dBm")</x:f>
      </x:c>
    </x:row>
    <x:row r="172">
      <x:c r="A172" s="30"/>
      <x:c r="B172" s="15"/>
      <x:c r="C172" s="15"/>
      <x:c r="D172" s="15"/>
      <x:c r="E172" s="15"/>
      <x:c r="F172" s="15"/>
      <x:c r="G172" s="15"/>
      <x:c r="H172" s="15"/>
      <x:c r="I172" s="15"/>
      <x:c r="J172" s="15"/>
      <x:c r="K172" s="15"/>
      <x:c r="L172" s="23" t="str">
        <x:f>IF(A172="","",2*'Assumptions'!$B$4*ASIN(SQRT(SIN(RADIANS(F172-I172)/2)^2+COS(RADIANS(F172))*COS(RADIANS(I172))*SIN(RADIANS(G172-J172)/2)^2)))</x:f>
      </x:c>
      <x:c r="M172" s="23" t="str">
        <x:f>IF(A172="","",SQRT(L172^2+((H172*0.3048-K172)/1000)^2))</x:f>
      </x:c>
      <x:c r="N172" s="23" t="str">
        <x:f>IF(A172="","",32.45+20*LOG178(MAX(M172,0.001))+20*LOG178(E172))</x:f>
      </x:c>
      <x:c r="O172" s="23" t="str">
        <x:f>IF(A172="","",'Assumptions'!$B$8*(SQRT(MAX(H172*0.3048,0))+SQRT(MAX(K172,0))))</x:f>
      </x:c>
      <x:c r="P172" s="22" t="str">
        <x:f>IF(A172="","",IF(L172&lt;=O172,"Yes","No"))</x:f>
      </x:c>
      <x:c r="Q172" s="24" t="str">
        <x:f>IF(A172="","",100*('Assumptions'!$B$6-N172)/('Assumptions'!$B$6-'Assumptions'!$B$5))</x:f>
      </x:c>
      <x:c r="R172" s="24" t="str">
        <x:f>IF(A172="","",MAX(0,MIN(100,Q172-IF(P172="No",'Assumptions'!$B$7,0))))</x:f>
      </x:c>
      <x:c r="S172" s="15" t="str">
        <x:f>IF(A172="","",IF(R172&gt;=80,"Strong",IF(R172&gt;=50,"Moderate","Weak")))</x:f>
      </x:c>
      <x:c r="T172" s="29" t="str">
        <x:f>IF(A172="","","Relative prototype score; not measured dBm")</x:f>
      </x:c>
    </x:row>
    <x:row r="173">
      <x:c r="A173" s="30"/>
      <x:c r="B173" s="15"/>
      <x:c r="C173" s="15"/>
      <x:c r="D173" s="15"/>
      <x:c r="E173" s="15"/>
      <x:c r="F173" s="15"/>
      <x:c r="G173" s="15"/>
      <x:c r="H173" s="15"/>
      <x:c r="I173" s="15"/>
      <x:c r="J173" s="15"/>
      <x:c r="K173" s="15"/>
      <x:c r="L173" s="23" t="str">
        <x:f>IF(A173="","",2*'Assumptions'!$B$4*ASIN(SQRT(SIN(RADIANS(F173-I173)/2)^2+COS(RADIANS(F173))*COS(RADIANS(I173))*SIN(RADIANS(G173-J173)/2)^2)))</x:f>
      </x:c>
      <x:c r="M173" s="23" t="str">
        <x:f>IF(A173="","",SQRT(L173^2+((H173*0.3048-K173)/1000)^2))</x:f>
      </x:c>
      <x:c r="N173" s="23" t="str">
        <x:f>IF(A173="","",32.45+20*LOG179(MAX(M173,0.001))+20*LOG179(E173))</x:f>
      </x:c>
      <x:c r="O173" s="23" t="str">
        <x:f>IF(A173="","",'Assumptions'!$B$8*(SQRT(MAX(H173*0.3048,0))+SQRT(MAX(K173,0))))</x:f>
      </x:c>
      <x:c r="P173" s="22" t="str">
        <x:f>IF(A173="","",IF(L173&lt;=O173,"Yes","No"))</x:f>
      </x:c>
      <x:c r="Q173" s="24" t="str">
        <x:f>IF(A173="","",100*('Assumptions'!$B$6-N173)/('Assumptions'!$B$6-'Assumptions'!$B$5))</x:f>
      </x:c>
      <x:c r="R173" s="24" t="str">
        <x:f>IF(A173="","",MAX(0,MIN(100,Q173-IF(P173="No",'Assumptions'!$B$7,0))))</x:f>
      </x:c>
      <x:c r="S173" s="15" t="str">
        <x:f>IF(A173="","",IF(R173&gt;=80,"Strong",IF(R173&gt;=50,"Moderate","Weak")))</x:f>
      </x:c>
      <x:c r="T173" s="29" t="str">
        <x:f>IF(A173="","","Relative prototype score; not measured dBm")</x:f>
      </x:c>
    </x:row>
    <x:row r="174">
      <x:c r="A174" s="30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23" t="str">
        <x:f>IF(A174="","",2*'Assumptions'!$B$4*ASIN(SQRT(SIN(RADIANS(F174-I174)/2)^2+COS(RADIANS(F174))*COS(RADIANS(I174))*SIN(RADIANS(G174-J174)/2)^2)))</x:f>
      </x:c>
      <x:c r="M174" s="23" t="str">
        <x:f>IF(A174="","",SQRT(L174^2+((H174*0.3048-K174)/1000)^2))</x:f>
      </x:c>
      <x:c r="N174" s="23" t="str">
        <x:f>IF(A174="","",32.45+20*LOG180(MAX(M174,0.001))+20*LOG180(E174))</x:f>
      </x:c>
      <x:c r="O174" s="23" t="str">
        <x:f>IF(A174="","",'Assumptions'!$B$8*(SQRT(MAX(H174*0.3048,0))+SQRT(MAX(K174,0))))</x:f>
      </x:c>
      <x:c r="P174" s="22" t="str">
        <x:f>IF(A174="","",IF(L174&lt;=O174,"Yes","No"))</x:f>
      </x:c>
      <x:c r="Q174" s="24" t="str">
        <x:f>IF(A174="","",100*('Assumptions'!$B$6-N174)/('Assumptions'!$B$6-'Assumptions'!$B$5))</x:f>
      </x:c>
      <x:c r="R174" s="24" t="str">
        <x:f>IF(A174="","",MAX(0,MIN(100,Q174-IF(P174="No",'Assumptions'!$B$7,0))))</x:f>
      </x:c>
      <x:c r="S174" s="15" t="str">
        <x:f>IF(A174="","",IF(R174&gt;=80,"Strong",IF(R174&gt;=50,"Moderate","Weak")))</x:f>
      </x:c>
      <x:c r="T174" s="29" t="str">
        <x:f>IF(A174="","","Relative prototype score; not measured dBm")</x:f>
      </x:c>
    </x:row>
    <x:row r="175">
      <x:c r="A175" s="30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23" t="str">
        <x:f>IF(A175="","",2*'Assumptions'!$B$4*ASIN(SQRT(SIN(RADIANS(F175-I175)/2)^2+COS(RADIANS(F175))*COS(RADIANS(I175))*SIN(RADIANS(G175-J175)/2)^2)))</x:f>
      </x:c>
      <x:c r="M175" s="23" t="str">
        <x:f>IF(A175="","",SQRT(L175^2+((H175*0.3048-K175)/1000)^2))</x:f>
      </x:c>
      <x:c r="N175" s="23" t="str">
        <x:f>IF(A175="","",32.45+20*LOG181(MAX(M175,0.001))+20*LOG181(E175))</x:f>
      </x:c>
      <x:c r="O175" s="23" t="str">
        <x:f>IF(A175="","",'Assumptions'!$B$8*(SQRT(MAX(H175*0.3048,0))+SQRT(MAX(K175,0))))</x:f>
      </x:c>
      <x:c r="P175" s="22" t="str">
        <x:f>IF(A175="","",IF(L175&lt;=O175,"Yes","No"))</x:f>
      </x:c>
      <x:c r="Q175" s="24" t="str">
        <x:f>IF(A175="","",100*('Assumptions'!$B$6-N175)/('Assumptions'!$B$6-'Assumptions'!$B$5))</x:f>
      </x:c>
      <x:c r="R175" s="24" t="str">
        <x:f>IF(A175="","",MAX(0,MIN(100,Q175-IF(P175="No",'Assumptions'!$B$7,0))))</x:f>
      </x:c>
      <x:c r="S175" s="15" t="str">
        <x:f>IF(A175="","",IF(R175&gt;=80,"Strong",IF(R175&gt;=50,"Moderate","Weak")))</x:f>
      </x:c>
      <x:c r="T175" s="29" t="str">
        <x:f>IF(A175="","","Relative prototype score; not measured dBm")</x:f>
      </x:c>
    </x:row>
    <x:row r="176">
      <x:c r="A176" s="30"/>
      <x:c r="B176" s="15"/>
      <x:c r="C176" s="15"/>
      <x:c r="D176" s="15"/>
      <x:c r="E176" s="15"/>
      <x:c r="F176" s="15"/>
      <x:c r="G176" s="15"/>
      <x:c r="H176" s="15"/>
      <x:c r="I176" s="15"/>
      <x:c r="J176" s="15"/>
      <x:c r="K176" s="15"/>
      <x:c r="L176" s="23" t="str">
        <x:f>IF(A176="","",2*'Assumptions'!$B$4*ASIN(SQRT(SIN(RADIANS(F176-I176)/2)^2+COS(RADIANS(F176))*COS(RADIANS(I176))*SIN(RADIANS(G176-J176)/2)^2)))</x:f>
      </x:c>
      <x:c r="M176" s="23" t="str">
        <x:f>IF(A176="","",SQRT(L176^2+((H176*0.3048-K176)/1000)^2))</x:f>
      </x:c>
      <x:c r="N176" s="23" t="str">
        <x:f>IF(A176="","",32.45+20*LOG182(MAX(M176,0.001))+20*LOG182(E176))</x:f>
      </x:c>
      <x:c r="O176" s="23" t="str">
        <x:f>IF(A176="","",'Assumptions'!$B$8*(SQRT(MAX(H176*0.3048,0))+SQRT(MAX(K176,0))))</x:f>
      </x:c>
      <x:c r="P176" s="22" t="str">
        <x:f>IF(A176="","",IF(L176&lt;=O176,"Yes","No"))</x:f>
      </x:c>
      <x:c r="Q176" s="24" t="str">
        <x:f>IF(A176="","",100*('Assumptions'!$B$6-N176)/('Assumptions'!$B$6-'Assumptions'!$B$5))</x:f>
      </x:c>
      <x:c r="R176" s="24" t="str">
        <x:f>IF(A176="","",MAX(0,MIN(100,Q176-IF(P176="No",'Assumptions'!$B$7,0))))</x:f>
      </x:c>
      <x:c r="S176" s="15" t="str">
        <x:f>IF(A176="","",IF(R176&gt;=80,"Strong",IF(R176&gt;=50,"Moderate","Weak")))</x:f>
      </x:c>
      <x:c r="T176" s="29" t="str">
        <x:f>IF(A176="","","Relative prototype score; not measured dBm")</x:f>
      </x:c>
    </x:row>
    <x:row r="177">
      <x:c r="A177" s="30"/>
      <x:c r="B177" s="15"/>
      <x:c r="C177" s="15"/>
      <x:c r="D177" s="15"/>
      <x:c r="E177" s="15"/>
      <x:c r="F177" s="15"/>
      <x:c r="G177" s="15"/>
      <x:c r="H177" s="15"/>
      <x:c r="I177" s="15"/>
      <x:c r="J177" s="15"/>
      <x:c r="K177" s="15"/>
      <x:c r="L177" s="23" t="str">
        <x:f>IF(A177="","",2*'Assumptions'!$B$4*ASIN(SQRT(SIN(RADIANS(F177-I177)/2)^2+COS(RADIANS(F177))*COS(RADIANS(I177))*SIN(RADIANS(G177-J177)/2)^2)))</x:f>
      </x:c>
      <x:c r="M177" s="23" t="str">
        <x:f>IF(A177="","",SQRT(L177^2+((H177*0.3048-K177)/1000)^2))</x:f>
      </x:c>
      <x:c r="N177" s="23" t="str">
        <x:f>IF(A177="","",32.45+20*LOG183(MAX(M177,0.001))+20*LOG183(E177))</x:f>
      </x:c>
      <x:c r="O177" s="23" t="str">
        <x:f>IF(A177="","",'Assumptions'!$B$8*(SQRT(MAX(H177*0.3048,0))+SQRT(MAX(K177,0))))</x:f>
      </x:c>
      <x:c r="P177" s="22" t="str">
        <x:f>IF(A177="","",IF(L177&lt;=O177,"Yes","No"))</x:f>
      </x:c>
      <x:c r="Q177" s="24" t="str">
        <x:f>IF(A177="","",100*('Assumptions'!$B$6-N177)/('Assumptions'!$B$6-'Assumptions'!$B$5))</x:f>
      </x:c>
      <x:c r="R177" s="24" t="str">
        <x:f>IF(A177="","",MAX(0,MIN(100,Q177-IF(P177="No",'Assumptions'!$B$7,0))))</x:f>
      </x:c>
      <x:c r="S177" s="15" t="str">
        <x:f>IF(A177="","",IF(R177&gt;=80,"Strong",IF(R177&gt;=50,"Moderate","Weak")))</x:f>
      </x:c>
      <x:c r="T177" s="29" t="str">
        <x:f>IF(A177="","","Relative prototype score; not measured dBm")</x:f>
      </x:c>
    </x:row>
    <x:row r="178">
      <x:c r="A178" s="30"/>
      <x:c r="B178" s="15"/>
      <x:c r="C178" s="15"/>
      <x:c r="D178" s="15"/>
      <x:c r="E178" s="15"/>
      <x:c r="F178" s="15"/>
      <x:c r="G178" s="15"/>
      <x:c r="H178" s="15"/>
      <x:c r="I178" s="15"/>
      <x:c r="J178" s="15"/>
      <x:c r="K178" s="15"/>
      <x:c r="L178" s="23" t="str">
        <x:f>IF(A178="","",2*'Assumptions'!$B$4*ASIN(SQRT(SIN(RADIANS(F178-I178)/2)^2+COS(RADIANS(F178))*COS(RADIANS(I178))*SIN(RADIANS(G178-J178)/2)^2)))</x:f>
      </x:c>
      <x:c r="M178" s="23" t="str">
        <x:f>IF(A178="","",SQRT(L178^2+((H178*0.3048-K178)/1000)^2))</x:f>
      </x:c>
      <x:c r="N178" s="23" t="str">
        <x:f>IF(A178="","",32.45+20*LOG184(MAX(M178,0.001))+20*LOG184(E178))</x:f>
      </x:c>
      <x:c r="O178" s="23" t="str">
        <x:f>IF(A178="","",'Assumptions'!$B$8*(SQRT(MAX(H178*0.3048,0))+SQRT(MAX(K178,0))))</x:f>
      </x:c>
      <x:c r="P178" s="22" t="str">
        <x:f>IF(A178="","",IF(L178&lt;=O178,"Yes","No"))</x:f>
      </x:c>
      <x:c r="Q178" s="24" t="str">
        <x:f>IF(A178="","",100*('Assumptions'!$B$6-N178)/('Assumptions'!$B$6-'Assumptions'!$B$5))</x:f>
      </x:c>
      <x:c r="R178" s="24" t="str">
        <x:f>IF(A178="","",MAX(0,MIN(100,Q178-IF(P178="No",'Assumptions'!$B$7,0))))</x:f>
      </x:c>
      <x:c r="S178" s="15" t="str">
        <x:f>IF(A178="","",IF(R178&gt;=80,"Strong",IF(R178&gt;=50,"Moderate","Weak")))</x:f>
      </x:c>
      <x:c r="T178" s="29" t="str">
        <x:f>IF(A178="","","Relative prototype score; not measured dBm")</x:f>
      </x:c>
    </x:row>
    <x:row r="179">
      <x:c r="A179" s="30"/>
      <x:c r="B179" s="15"/>
      <x:c r="C179" s="15"/>
      <x:c r="D179" s="15"/>
      <x:c r="E179" s="15"/>
      <x:c r="F179" s="15"/>
      <x:c r="G179" s="15"/>
      <x:c r="H179" s="15"/>
      <x:c r="I179" s="15"/>
      <x:c r="J179" s="15"/>
      <x:c r="K179" s="15"/>
      <x:c r="L179" s="23" t="str">
        <x:f>IF(A179="","",2*'Assumptions'!$B$4*ASIN(SQRT(SIN(RADIANS(F179-I179)/2)^2+COS(RADIANS(F179))*COS(RADIANS(I179))*SIN(RADIANS(G179-J179)/2)^2)))</x:f>
      </x:c>
      <x:c r="M179" s="23" t="str">
        <x:f>IF(A179="","",SQRT(L179^2+((H179*0.3048-K179)/1000)^2))</x:f>
      </x:c>
      <x:c r="N179" s="23" t="str">
        <x:f>IF(A179="","",32.45+20*LOG185(MAX(M179,0.001))+20*LOG185(E179))</x:f>
      </x:c>
      <x:c r="O179" s="23" t="str">
        <x:f>IF(A179="","",'Assumptions'!$B$8*(SQRT(MAX(H179*0.3048,0))+SQRT(MAX(K179,0))))</x:f>
      </x:c>
      <x:c r="P179" s="22" t="str">
        <x:f>IF(A179="","",IF(L179&lt;=O179,"Yes","No"))</x:f>
      </x:c>
      <x:c r="Q179" s="24" t="str">
        <x:f>IF(A179="","",100*('Assumptions'!$B$6-N179)/('Assumptions'!$B$6-'Assumptions'!$B$5))</x:f>
      </x:c>
      <x:c r="R179" s="24" t="str">
        <x:f>IF(A179="","",MAX(0,MIN(100,Q179-IF(P179="No",'Assumptions'!$B$7,0))))</x:f>
      </x:c>
      <x:c r="S179" s="15" t="str">
        <x:f>IF(A179="","",IF(R179&gt;=80,"Strong",IF(R179&gt;=50,"Moderate","Weak")))</x:f>
      </x:c>
      <x:c r="T179" s="29" t="str">
        <x:f>IF(A179="","","Relative prototype score; not measured dBm")</x:f>
      </x:c>
    </x:row>
    <x:row r="180">
      <x:c r="A180" s="30"/>
      <x:c r="B180" s="15"/>
      <x:c r="C180" s="15"/>
      <x:c r="D180" s="15"/>
      <x:c r="E180" s="15"/>
      <x:c r="F180" s="15"/>
      <x:c r="G180" s="15"/>
      <x:c r="H180" s="15"/>
      <x:c r="I180" s="15"/>
      <x:c r="J180" s="15"/>
      <x:c r="K180" s="15"/>
      <x:c r="L180" s="23" t="str">
        <x:f>IF(A180="","",2*'Assumptions'!$B$4*ASIN(SQRT(SIN(RADIANS(F180-I180)/2)^2+COS(RADIANS(F180))*COS(RADIANS(I180))*SIN(RADIANS(G180-J180)/2)^2)))</x:f>
      </x:c>
      <x:c r="M180" s="23" t="str">
        <x:f>IF(A180="","",SQRT(L180^2+((H180*0.3048-K180)/1000)^2))</x:f>
      </x:c>
      <x:c r="N180" s="23" t="str">
        <x:f>IF(A180="","",32.45+20*LOG186(MAX(M180,0.001))+20*LOG186(E180))</x:f>
      </x:c>
      <x:c r="O180" s="23" t="str">
        <x:f>IF(A180="","",'Assumptions'!$B$8*(SQRT(MAX(H180*0.3048,0))+SQRT(MAX(K180,0))))</x:f>
      </x:c>
      <x:c r="P180" s="22" t="str">
        <x:f>IF(A180="","",IF(L180&lt;=O180,"Yes","No"))</x:f>
      </x:c>
      <x:c r="Q180" s="24" t="str">
        <x:f>IF(A180="","",100*('Assumptions'!$B$6-N180)/('Assumptions'!$B$6-'Assumptions'!$B$5))</x:f>
      </x:c>
      <x:c r="R180" s="24" t="str">
        <x:f>IF(A180="","",MAX(0,MIN(100,Q180-IF(P180="No",'Assumptions'!$B$7,0))))</x:f>
      </x:c>
      <x:c r="S180" s="15" t="str">
        <x:f>IF(A180="","",IF(R180&gt;=80,"Strong",IF(R180&gt;=50,"Moderate","Weak")))</x:f>
      </x:c>
      <x:c r="T180" s="29" t="str">
        <x:f>IF(A180="","","Relative prototype score; not measured dBm")</x:f>
      </x:c>
    </x:row>
    <x:row r="181">
      <x:c r="A181" s="30"/>
      <x:c r="B181" s="15"/>
      <x:c r="C181" s="15"/>
      <x:c r="D181" s="15"/>
      <x:c r="E181" s="15"/>
      <x:c r="F181" s="15"/>
      <x:c r="G181" s="15"/>
      <x:c r="H181" s="15"/>
      <x:c r="I181" s="15"/>
      <x:c r="J181" s="15"/>
      <x:c r="K181" s="15"/>
      <x:c r="L181" s="23" t="str">
        <x:f>IF(A181="","",2*'Assumptions'!$B$4*ASIN(SQRT(SIN(RADIANS(F181-I181)/2)^2+COS(RADIANS(F181))*COS(RADIANS(I181))*SIN(RADIANS(G181-J181)/2)^2)))</x:f>
      </x:c>
      <x:c r="M181" s="23" t="str">
        <x:f>IF(A181="","",SQRT(L181^2+((H181*0.3048-K181)/1000)^2))</x:f>
      </x:c>
      <x:c r="N181" s="23" t="str">
        <x:f>IF(A181="","",32.45+20*LOG187(MAX(M181,0.001))+20*LOG187(E181))</x:f>
      </x:c>
      <x:c r="O181" s="23" t="str">
        <x:f>IF(A181="","",'Assumptions'!$B$8*(SQRT(MAX(H181*0.3048,0))+SQRT(MAX(K181,0))))</x:f>
      </x:c>
      <x:c r="P181" s="22" t="str">
        <x:f>IF(A181="","",IF(L181&lt;=O181,"Yes","No"))</x:f>
      </x:c>
      <x:c r="Q181" s="24" t="str">
        <x:f>IF(A181="","",100*('Assumptions'!$B$6-N181)/('Assumptions'!$B$6-'Assumptions'!$B$5))</x:f>
      </x:c>
      <x:c r="R181" s="24" t="str">
        <x:f>IF(A181="","",MAX(0,MIN(100,Q181-IF(P181="No",'Assumptions'!$B$7,0))))</x:f>
      </x:c>
      <x:c r="S181" s="15" t="str">
        <x:f>IF(A181="","",IF(R181&gt;=80,"Strong",IF(R181&gt;=50,"Moderate","Weak")))</x:f>
      </x:c>
      <x:c r="T181" s="29" t="str">
        <x:f>IF(A181="","","Relative prototype score; not measured dBm")</x:f>
      </x:c>
    </x:row>
    <x:row r="182">
      <x:c r="A182" s="30"/>
      <x:c r="B182" s="15"/>
      <x:c r="C182" s="15"/>
      <x:c r="D182" s="15"/>
      <x:c r="E182" s="15"/>
      <x:c r="F182" s="15"/>
      <x:c r="G182" s="15"/>
      <x:c r="H182" s="15"/>
      <x:c r="I182" s="15"/>
      <x:c r="J182" s="15"/>
      <x:c r="K182" s="15"/>
      <x:c r="L182" s="23" t="str">
        <x:f>IF(A182="","",2*'Assumptions'!$B$4*ASIN(SQRT(SIN(RADIANS(F182-I182)/2)^2+COS(RADIANS(F182))*COS(RADIANS(I182))*SIN(RADIANS(G182-J182)/2)^2)))</x:f>
      </x:c>
      <x:c r="M182" s="23" t="str">
        <x:f>IF(A182="","",SQRT(L182^2+((H182*0.3048-K182)/1000)^2))</x:f>
      </x:c>
      <x:c r="N182" s="23" t="str">
        <x:f>IF(A182="","",32.45+20*LOG188(MAX(M182,0.001))+20*LOG188(E182))</x:f>
      </x:c>
      <x:c r="O182" s="23" t="str">
        <x:f>IF(A182="","",'Assumptions'!$B$8*(SQRT(MAX(H182*0.3048,0))+SQRT(MAX(K182,0))))</x:f>
      </x:c>
      <x:c r="P182" s="22" t="str">
        <x:f>IF(A182="","",IF(L182&lt;=O182,"Yes","No"))</x:f>
      </x:c>
      <x:c r="Q182" s="24" t="str">
        <x:f>IF(A182="","",100*('Assumptions'!$B$6-N182)/('Assumptions'!$B$6-'Assumptions'!$B$5))</x:f>
      </x:c>
      <x:c r="R182" s="24" t="str">
        <x:f>IF(A182="","",MAX(0,MIN(100,Q182-IF(P182="No",'Assumptions'!$B$7,0))))</x:f>
      </x:c>
      <x:c r="S182" s="15" t="str">
        <x:f>IF(A182="","",IF(R182&gt;=80,"Strong",IF(R182&gt;=50,"Moderate","Weak")))</x:f>
      </x:c>
      <x:c r="T182" s="29" t="str">
        <x:f>IF(A182="","","Relative prototype score; not measured dBm")</x:f>
      </x:c>
    </x:row>
    <x:row r="183">
      <x:c r="A183" s="30"/>
      <x:c r="B183" s="15"/>
      <x:c r="C183" s="15"/>
      <x:c r="D183" s="15"/>
      <x:c r="E183" s="15"/>
      <x:c r="F183" s="15"/>
      <x:c r="G183" s="15"/>
      <x:c r="H183" s="15"/>
      <x:c r="I183" s="15"/>
      <x:c r="J183" s="15"/>
      <x:c r="K183" s="15"/>
      <x:c r="L183" s="23" t="str">
        <x:f>IF(A183="","",2*'Assumptions'!$B$4*ASIN(SQRT(SIN(RADIANS(F183-I183)/2)^2+COS(RADIANS(F183))*COS(RADIANS(I183))*SIN(RADIANS(G183-J183)/2)^2)))</x:f>
      </x:c>
      <x:c r="M183" s="23" t="str">
        <x:f>IF(A183="","",SQRT(L183^2+((H183*0.3048-K183)/1000)^2))</x:f>
      </x:c>
      <x:c r="N183" s="23" t="str">
        <x:f>IF(A183="","",32.45+20*LOG189(MAX(M183,0.001))+20*LOG189(E183))</x:f>
      </x:c>
      <x:c r="O183" s="23" t="str">
        <x:f>IF(A183="","",'Assumptions'!$B$8*(SQRT(MAX(H183*0.3048,0))+SQRT(MAX(K183,0))))</x:f>
      </x:c>
      <x:c r="P183" s="22" t="str">
        <x:f>IF(A183="","",IF(L183&lt;=O183,"Yes","No"))</x:f>
      </x:c>
      <x:c r="Q183" s="24" t="str">
        <x:f>IF(A183="","",100*('Assumptions'!$B$6-N183)/('Assumptions'!$B$6-'Assumptions'!$B$5))</x:f>
      </x:c>
      <x:c r="R183" s="24" t="str">
        <x:f>IF(A183="","",MAX(0,MIN(100,Q183-IF(P183="No",'Assumptions'!$B$7,0))))</x:f>
      </x:c>
      <x:c r="S183" s="15" t="str">
        <x:f>IF(A183="","",IF(R183&gt;=80,"Strong",IF(R183&gt;=50,"Moderate","Weak")))</x:f>
      </x:c>
      <x:c r="T183" s="29" t="str">
        <x:f>IF(A183="","","Relative prototype score; not measured dBm")</x:f>
      </x:c>
    </x:row>
    <x:row r="184">
      <x:c r="A184" s="30"/>
      <x:c r="B184" s="15"/>
      <x:c r="C184" s="15"/>
      <x:c r="D184" s="15"/>
      <x:c r="E184" s="15"/>
      <x:c r="F184" s="15"/>
      <x:c r="G184" s="15"/>
      <x:c r="H184" s="15"/>
      <x:c r="I184" s="15"/>
      <x:c r="J184" s="15"/>
      <x:c r="K184" s="15"/>
      <x:c r="L184" s="23" t="str">
        <x:f>IF(A184="","",2*'Assumptions'!$B$4*ASIN(SQRT(SIN(RADIANS(F184-I184)/2)^2+COS(RADIANS(F184))*COS(RADIANS(I184))*SIN(RADIANS(G184-J184)/2)^2)))</x:f>
      </x:c>
      <x:c r="M184" s="23" t="str">
        <x:f>IF(A184="","",SQRT(L184^2+((H184*0.3048-K184)/1000)^2))</x:f>
      </x:c>
      <x:c r="N184" s="23" t="str">
        <x:f>IF(A184="","",32.45+20*LOG190(MAX(M184,0.001))+20*LOG190(E184))</x:f>
      </x:c>
      <x:c r="O184" s="23" t="str">
        <x:f>IF(A184="","",'Assumptions'!$B$8*(SQRT(MAX(H184*0.3048,0))+SQRT(MAX(K184,0))))</x:f>
      </x:c>
      <x:c r="P184" s="22" t="str">
        <x:f>IF(A184="","",IF(L184&lt;=O184,"Yes","No"))</x:f>
      </x:c>
      <x:c r="Q184" s="24" t="str">
        <x:f>IF(A184="","",100*('Assumptions'!$B$6-N184)/('Assumptions'!$B$6-'Assumptions'!$B$5))</x:f>
      </x:c>
      <x:c r="R184" s="24" t="str">
        <x:f>IF(A184="","",MAX(0,MIN(100,Q184-IF(P184="No",'Assumptions'!$B$7,0))))</x:f>
      </x:c>
      <x:c r="S184" s="15" t="str">
        <x:f>IF(A184="","",IF(R184&gt;=80,"Strong",IF(R184&gt;=50,"Moderate","Weak")))</x:f>
      </x:c>
      <x:c r="T184" s="29" t="str">
        <x:f>IF(A184="","","Relative prototype score; not measured dBm")</x:f>
      </x:c>
    </x:row>
    <x:row r="185">
      <x:c r="A185" s="30"/>
      <x:c r="B185" s="15"/>
      <x:c r="C185" s="15"/>
      <x:c r="D185" s="15"/>
      <x:c r="E185" s="15"/>
      <x:c r="F185" s="15"/>
      <x:c r="G185" s="15"/>
      <x:c r="H185" s="15"/>
      <x:c r="I185" s="15"/>
      <x:c r="J185" s="15"/>
      <x:c r="K185" s="15"/>
      <x:c r="L185" s="23" t="str">
        <x:f>IF(A185="","",2*'Assumptions'!$B$4*ASIN(SQRT(SIN(RADIANS(F185-I185)/2)^2+COS(RADIANS(F185))*COS(RADIANS(I185))*SIN(RADIANS(G185-J185)/2)^2)))</x:f>
      </x:c>
      <x:c r="M185" s="23" t="str">
        <x:f>IF(A185="","",SQRT(L185^2+((H185*0.3048-K185)/1000)^2))</x:f>
      </x:c>
      <x:c r="N185" s="23" t="str">
        <x:f>IF(A185="","",32.45+20*LOG191(MAX(M185,0.001))+20*LOG191(E185))</x:f>
      </x:c>
      <x:c r="O185" s="23" t="str">
        <x:f>IF(A185="","",'Assumptions'!$B$8*(SQRT(MAX(H185*0.3048,0))+SQRT(MAX(K185,0))))</x:f>
      </x:c>
      <x:c r="P185" s="22" t="str">
        <x:f>IF(A185="","",IF(L185&lt;=O185,"Yes","No"))</x:f>
      </x:c>
      <x:c r="Q185" s="24" t="str">
        <x:f>IF(A185="","",100*('Assumptions'!$B$6-N185)/('Assumptions'!$B$6-'Assumptions'!$B$5))</x:f>
      </x:c>
      <x:c r="R185" s="24" t="str">
        <x:f>IF(A185="","",MAX(0,MIN(100,Q185-IF(P185="No",'Assumptions'!$B$7,0))))</x:f>
      </x:c>
      <x:c r="S185" s="15" t="str">
        <x:f>IF(A185="","",IF(R185&gt;=80,"Strong",IF(R185&gt;=50,"Moderate","Weak")))</x:f>
      </x:c>
      <x:c r="T185" s="29" t="str">
        <x:f>IF(A185="","","Relative prototype score; not measured dBm")</x:f>
      </x:c>
    </x:row>
    <x:row r="186">
      <x:c r="A186" s="30"/>
      <x:c r="B186" s="15"/>
      <x:c r="C186" s="15"/>
      <x:c r="D186" s="15"/>
      <x:c r="E186" s="15"/>
      <x:c r="F186" s="15"/>
      <x:c r="G186" s="15"/>
      <x:c r="H186" s="15"/>
      <x:c r="I186" s="15"/>
      <x:c r="J186" s="15"/>
      <x:c r="K186" s="15"/>
      <x:c r="L186" s="23" t="str">
        <x:f>IF(A186="","",2*'Assumptions'!$B$4*ASIN(SQRT(SIN(RADIANS(F186-I186)/2)^2+COS(RADIANS(F186))*COS(RADIANS(I186))*SIN(RADIANS(G186-J186)/2)^2)))</x:f>
      </x:c>
      <x:c r="M186" s="23" t="str">
        <x:f>IF(A186="","",SQRT(L186^2+((H186*0.3048-K186)/1000)^2))</x:f>
      </x:c>
      <x:c r="N186" s="23" t="str">
        <x:f>IF(A186="","",32.45+20*LOG192(MAX(M186,0.001))+20*LOG192(E186))</x:f>
      </x:c>
      <x:c r="O186" s="23" t="str">
        <x:f>IF(A186="","",'Assumptions'!$B$8*(SQRT(MAX(H186*0.3048,0))+SQRT(MAX(K186,0))))</x:f>
      </x:c>
      <x:c r="P186" s="22" t="str">
        <x:f>IF(A186="","",IF(L186&lt;=O186,"Yes","No"))</x:f>
      </x:c>
      <x:c r="Q186" s="24" t="str">
        <x:f>IF(A186="","",100*('Assumptions'!$B$6-N186)/('Assumptions'!$B$6-'Assumptions'!$B$5))</x:f>
      </x:c>
      <x:c r="R186" s="24" t="str">
        <x:f>IF(A186="","",MAX(0,MIN(100,Q186-IF(P186="No",'Assumptions'!$B$7,0))))</x:f>
      </x:c>
      <x:c r="S186" s="15" t="str">
        <x:f>IF(A186="","",IF(R186&gt;=80,"Strong",IF(R186&gt;=50,"Moderate","Weak")))</x:f>
      </x:c>
      <x:c r="T186" s="29" t="str">
        <x:f>IF(A186="","","Relative prototype score; not measured dBm")</x:f>
      </x:c>
    </x:row>
    <x:row r="187">
      <x:c r="A187" s="30"/>
      <x:c r="B187" s="15"/>
      <x:c r="C187" s="15"/>
      <x:c r="D187" s="15"/>
      <x:c r="E187" s="15"/>
      <x:c r="F187" s="15"/>
      <x:c r="G187" s="15"/>
      <x:c r="H187" s="15"/>
      <x:c r="I187" s="15"/>
      <x:c r="J187" s="15"/>
      <x:c r="K187" s="15"/>
      <x:c r="L187" s="23" t="str">
        <x:f>IF(A187="","",2*'Assumptions'!$B$4*ASIN(SQRT(SIN(RADIANS(F187-I187)/2)^2+COS(RADIANS(F187))*COS(RADIANS(I187))*SIN(RADIANS(G187-J187)/2)^2)))</x:f>
      </x:c>
      <x:c r="M187" s="23" t="str">
        <x:f>IF(A187="","",SQRT(L187^2+((H187*0.3048-K187)/1000)^2))</x:f>
      </x:c>
      <x:c r="N187" s="23" t="str">
        <x:f>IF(A187="","",32.45+20*LOG193(MAX(M187,0.001))+20*LOG193(E187))</x:f>
      </x:c>
      <x:c r="O187" s="23" t="str">
        <x:f>IF(A187="","",'Assumptions'!$B$8*(SQRT(MAX(H187*0.3048,0))+SQRT(MAX(K187,0))))</x:f>
      </x:c>
      <x:c r="P187" s="22" t="str">
        <x:f>IF(A187="","",IF(L187&lt;=O187,"Yes","No"))</x:f>
      </x:c>
      <x:c r="Q187" s="24" t="str">
        <x:f>IF(A187="","",100*('Assumptions'!$B$6-N187)/('Assumptions'!$B$6-'Assumptions'!$B$5))</x:f>
      </x:c>
      <x:c r="R187" s="24" t="str">
        <x:f>IF(A187="","",MAX(0,MIN(100,Q187-IF(P187="No",'Assumptions'!$B$7,0))))</x:f>
      </x:c>
      <x:c r="S187" s="15" t="str">
        <x:f>IF(A187="","",IF(R187&gt;=80,"Strong",IF(R187&gt;=50,"Moderate","Weak")))</x:f>
      </x:c>
      <x:c r="T187" s="29" t="str">
        <x:f>IF(A187="","","Relative prototype score; not measured dBm")</x:f>
      </x:c>
    </x:row>
    <x:row r="188">
      <x:c r="A188" s="30"/>
      <x:c r="B188" s="15"/>
      <x:c r="C188" s="15"/>
      <x:c r="D188" s="15"/>
      <x:c r="E188" s="15"/>
      <x:c r="F188" s="15"/>
      <x:c r="G188" s="15"/>
      <x:c r="H188" s="15"/>
      <x:c r="I188" s="15"/>
      <x:c r="J188" s="15"/>
      <x:c r="K188" s="15"/>
      <x:c r="L188" s="23" t="str">
        <x:f>IF(A188="","",2*'Assumptions'!$B$4*ASIN(SQRT(SIN(RADIANS(F188-I188)/2)^2+COS(RADIANS(F188))*COS(RADIANS(I188))*SIN(RADIANS(G188-J188)/2)^2)))</x:f>
      </x:c>
      <x:c r="M188" s="23" t="str">
        <x:f>IF(A188="","",SQRT(L188^2+((H188*0.3048-K188)/1000)^2))</x:f>
      </x:c>
      <x:c r="N188" s="23" t="str">
        <x:f>IF(A188="","",32.45+20*LOG194(MAX(M188,0.001))+20*LOG194(E188))</x:f>
      </x:c>
      <x:c r="O188" s="23" t="str">
        <x:f>IF(A188="","",'Assumptions'!$B$8*(SQRT(MAX(H188*0.3048,0))+SQRT(MAX(K188,0))))</x:f>
      </x:c>
      <x:c r="P188" s="22" t="str">
        <x:f>IF(A188="","",IF(L188&lt;=O188,"Yes","No"))</x:f>
      </x:c>
      <x:c r="Q188" s="24" t="str">
        <x:f>IF(A188="","",100*('Assumptions'!$B$6-N188)/('Assumptions'!$B$6-'Assumptions'!$B$5))</x:f>
      </x:c>
      <x:c r="R188" s="24" t="str">
        <x:f>IF(A188="","",MAX(0,MIN(100,Q188-IF(P188="No",'Assumptions'!$B$7,0))))</x:f>
      </x:c>
      <x:c r="S188" s="15" t="str">
        <x:f>IF(A188="","",IF(R188&gt;=80,"Strong",IF(R188&gt;=50,"Moderate","Weak")))</x:f>
      </x:c>
      <x:c r="T188" s="29" t="str">
        <x:f>IF(A188="","","Relative prototype score; not measured dBm")</x:f>
      </x:c>
    </x:row>
    <x:row r="189">
      <x:c r="A189" s="30"/>
      <x:c r="B189" s="15"/>
      <x:c r="C189" s="15"/>
      <x:c r="D189" s="15"/>
      <x:c r="E189" s="15"/>
      <x:c r="F189" s="15"/>
      <x:c r="G189" s="15"/>
      <x:c r="H189" s="15"/>
      <x:c r="I189" s="15"/>
      <x:c r="J189" s="15"/>
      <x:c r="K189" s="15"/>
      <x:c r="L189" s="23" t="str">
        <x:f>IF(A189="","",2*'Assumptions'!$B$4*ASIN(SQRT(SIN(RADIANS(F189-I189)/2)^2+COS(RADIANS(F189))*COS(RADIANS(I189))*SIN(RADIANS(G189-J189)/2)^2)))</x:f>
      </x:c>
      <x:c r="M189" s="23" t="str">
        <x:f>IF(A189="","",SQRT(L189^2+((H189*0.3048-K189)/1000)^2))</x:f>
      </x:c>
      <x:c r="N189" s="23" t="str">
        <x:f>IF(A189="","",32.45+20*LOG195(MAX(M189,0.001))+20*LOG195(E189))</x:f>
      </x:c>
      <x:c r="O189" s="23" t="str">
        <x:f>IF(A189="","",'Assumptions'!$B$8*(SQRT(MAX(H189*0.3048,0))+SQRT(MAX(K189,0))))</x:f>
      </x:c>
      <x:c r="P189" s="22" t="str">
        <x:f>IF(A189="","",IF(L189&lt;=O189,"Yes","No"))</x:f>
      </x:c>
      <x:c r="Q189" s="24" t="str">
        <x:f>IF(A189="","",100*('Assumptions'!$B$6-N189)/('Assumptions'!$B$6-'Assumptions'!$B$5))</x:f>
      </x:c>
      <x:c r="R189" s="24" t="str">
        <x:f>IF(A189="","",MAX(0,MIN(100,Q189-IF(P189="No",'Assumptions'!$B$7,0))))</x:f>
      </x:c>
      <x:c r="S189" s="15" t="str">
        <x:f>IF(A189="","",IF(R189&gt;=80,"Strong",IF(R189&gt;=50,"Moderate","Weak")))</x:f>
      </x:c>
      <x:c r="T189" s="29" t="str">
        <x:f>IF(A189="","","Relative prototype score; not measured dBm")</x:f>
      </x:c>
    </x:row>
    <x:row r="190">
      <x:c r="A190" s="30"/>
      <x:c r="B190" s="15"/>
      <x:c r="C190" s="15"/>
      <x:c r="D190" s="15"/>
      <x:c r="E190" s="15"/>
      <x:c r="F190" s="15"/>
      <x:c r="G190" s="15"/>
      <x:c r="H190" s="15"/>
      <x:c r="I190" s="15"/>
      <x:c r="J190" s="15"/>
      <x:c r="K190" s="15"/>
      <x:c r="L190" s="23" t="str">
        <x:f>IF(A190="","",2*'Assumptions'!$B$4*ASIN(SQRT(SIN(RADIANS(F190-I190)/2)^2+COS(RADIANS(F190))*COS(RADIANS(I190))*SIN(RADIANS(G190-J190)/2)^2)))</x:f>
      </x:c>
      <x:c r="M190" s="23" t="str">
        <x:f>IF(A190="","",SQRT(L190^2+((H190*0.3048-K190)/1000)^2))</x:f>
      </x:c>
      <x:c r="N190" s="23" t="str">
        <x:f>IF(A190="","",32.45+20*LOG196(MAX(M190,0.001))+20*LOG196(E190))</x:f>
      </x:c>
      <x:c r="O190" s="23" t="str">
        <x:f>IF(A190="","",'Assumptions'!$B$8*(SQRT(MAX(H190*0.3048,0))+SQRT(MAX(K190,0))))</x:f>
      </x:c>
      <x:c r="P190" s="22" t="str">
        <x:f>IF(A190="","",IF(L190&lt;=O190,"Yes","No"))</x:f>
      </x:c>
      <x:c r="Q190" s="24" t="str">
        <x:f>IF(A190="","",100*('Assumptions'!$B$6-N190)/('Assumptions'!$B$6-'Assumptions'!$B$5))</x:f>
      </x:c>
      <x:c r="R190" s="24" t="str">
        <x:f>IF(A190="","",MAX(0,MIN(100,Q190-IF(P190="No",'Assumptions'!$B$7,0))))</x:f>
      </x:c>
      <x:c r="S190" s="15" t="str">
        <x:f>IF(A190="","",IF(R190&gt;=80,"Strong",IF(R190&gt;=50,"Moderate","Weak")))</x:f>
      </x:c>
      <x:c r="T190" s="29" t="str">
        <x:f>IF(A190="","","Relative prototype score; not measured dBm")</x:f>
      </x:c>
    </x:row>
    <x:row r="191">
      <x:c r="A191" s="30"/>
      <x:c r="B191" s="15"/>
      <x:c r="C191" s="15"/>
      <x:c r="D191" s="15"/>
      <x:c r="E191" s="15"/>
      <x:c r="F191" s="15"/>
      <x:c r="G191" s="15"/>
      <x:c r="H191" s="15"/>
      <x:c r="I191" s="15"/>
      <x:c r="J191" s="15"/>
      <x:c r="K191" s="15"/>
      <x:c r="L191" s="23" t="str">
        <x:f>IF(A191="","",2*'Assumptions'!$B$4*ASIN(SQRT(SIN(RADIANS(F191-I191)/2)^2+COS(RADIANS(F191))*COS(RADIANS(I191))*SIN(RADIANS(G191-J191)/2)^2)))</x:f>
      </x:c>
      <x:c r="M191" s="23" t="str">
        <x:f>IF(A191="","",SQRT(L191^2+((H191*0.3048-K191)/1000)^2))</x:f>
      </x:c>
      <x:c r="N191" s="23" t="str">
        <x:f>IF(A191="","",32.45+20*LOG197(MAX(M191,0.001))+20*LOG197(E191))</x:f>
      </x:c>
      <x:c r="O191" s="23" t="str">
        <x:f>IF(A191="","",'Assumptions'!$B$8*(SQRT(MAX(H191*0.3048,0))+SQRT(MAX(K191,0))))</x:f>
      </x:c>
      <x:c r="P191" s="22" t="str">
        <x:f>IF(A191="","",IF(L191&lt;=O191,"Yes","No"))</x:f>
      </x:c>
      <x:c r="Q191" s="24" t="str">
        <x:f>IF(A191="","",100*('Assumptions'!$B$6-N191)/('Assumptions'!$B$6-'Assumptions'!$B$5))</x:f>
      </x:c>
      <x:c r="R191" s="24" t="str">
        <x:f>IF(A191="","",MAX(0,MIN(100,Q191-IF(P191="No",'Assumptions'!$B$7,0))))</x:f>
      </x:c>
      <x:c r="S191" s="15" t="str">
        <x:f>IF(A191="","",IF(R191&gt;=80,"Strong",IF(R191&gt;=50,"Moderate","Weak")))</x:f>
      </x:c>
      <x:c r="T191" s="29" t="str">
        <x:f>IF(A191="","","Relative prototype score; not measured dBm")</x:f>
      </x:c>
    </x:row>
    <x:row r="192">
      <x:c r="A192" s="30"/>
      <x:c r="B192" s="15"/>
      <x:c r="C192" s="15"/>
      <x:c r="D192" s="15"/>
      <x:c r="E192" s="15"/>
      <x:c r="F192" s="15"/>
      <x:c r="G192" s="15"/>
      <x:c r="H192" s="15"/>
      <x:c r="I192" s="15"/>
      <x:c r="J192" s="15"/>
      <x:c r="K192" s="15"/>
      <x:c r="L192" s="23" t="str">
        <x:f>IF(A192="","",2*'Assumptions'!$B$4*ASIN(SQRT(SIN(RADIANS(F192-I192)/2)^2+COS(RADIANS(F192))*COS(RADIANS(I192))*SIN(RADIANS(G192-J192)/2)^2)))</x:f>
      </x:c>
      <x:c r="M192" s="23" t="str">
        <x:f>IF(A192="","",SQRT(L192^2+((H192*0.3048-K192)/1000)^2))</x:f>
      </x:c>
      <x:c r="N192" s="23" t="str">
        <x:f>IF(A192="","",32.45+20*LOG198(MAX(M192,0.001))+20*LOG198(E192))</x:f>
      </x:c>
      <x:c r="O192" s="23" t="str">
        <x:f>IF(A192="","",'Assumptions'!$B$8*(SQRT(MAX(H192*0.3048,0))+SQRT(MAX(K192,0))))</x:f>
      </x:c>
      <x:c r="P192" s="22" t="str">
        <x:f>IF(A192="","",IF(L192&lt;=O192,"Yes","No"))</x:f>
      </x:c>
      <x:c r="Q192" s="24" t="str">
        <x:f>IF(A192="","",100*('Assumptions'!$B$6-N192)/('Assumptions'!$B$6-'Assumptions'!$B$5))</x:f>
      </x:c>
      <x:c r="R192" s="24" t="str">
        <x:f>IF(A192="","",MAX(0,MIN(100,Q192-IF(P192="No",'Assumptions'!$B$7,0))))</x:f>
      </x:c>
      <x:c r="S192" s="15" t="str">
        <x:f>IF(A192="","",IF(R192&gt;=80,"Strong",IF(R192&gt;=50,"Moderate","Weak")))</x:f>
      </x:c>
      <x:c r="T192" s="29" t="str">
        <x:f>IF(A192="","","Relative prototype score; not measured dBm")</x:f>
      </x:c>
    </x:row>
    <x:row r="193">
      <x:c r="A193" s="30"/>
      <x:c r="B193" s="15"/>
      <x:c r="C193" s="15"/>
      <x:c r="D193" s="15"/>
      <x:c r="E193" s="15"/>
      <x:c r="F193" s="15"/>
      <x:c r="G193" s="15"/>
      <x:c r="H193" s="15"/>
      <x:c r="I193" s="15"/>
      <x:c r="J193" s="15"/>
      <x:c r="K193" s="15"/>
      <x:c r="L193" s="23" t="str">
        <x:f>IF(A193="","",2*'Assumptions'!$B$4*ASIN(SQRT(SIN(RADIANS(F193-I193)/2)^2+COS(RADIANS(F193))*COS(RADIANS(I193))*SIN(RADIANS(G193-J193)/2)^2)))</x:f>
      </x:c>
      <x:c r="M193" s="23" t="str">
        <x:f>IF(A193="","",SQRT(L193^2+((H193*0.3048-K193)/1000)^2))</x:f>
      </x:c>
      <x:c r="N193" s="23" t="str">
        <x:f>IF(A193="","",32.45+20*LOG199(MAX(M193,0.001))+20*LOG199(E193))</x:f>
      </x:c>
      <x:c r="O193" s="23" t="str">
        <x:f>IF(A193="","",'Assumptions'!$B$8*(SQRT(MAX(H193*0.3048,0))+SQRT(MAX(K193,0))))</x:f>
      </x:c>
      <x:c r="P193" s="22" t="str">
        <x:f>IF(A193="","",IF(L193&lt;=O193,"Yes","No"))</x:f>
      </x:c>
      <x:c r="Q193" s="24" t="str">
        <x:f>IF(A193="","",100*('Assumptions'!$B$6-N193)/('Assumptions'!$B$6-'Assumptions'!$B$5))</x:f>
      </x:c>
      <x:c r="R193" s="24" t="str">
        <x:f>IF(A193="","",MAX(0,MIN(100,Q193-IF(P193="No",'Assumptions'!$B$7,0))))</x:f>
      </x:c>
      <x:c r="S193" s="15" t="str">
        <x:f>IF(A193="","",IF(R193&gt;=80,"Strong",IF(R193&gt;=50,"Moderate","Weak")))</x:f>
      </x:c>
      <x:c r="T193" s="29" t="str">
        <x:f>IF(A193="","","Relative prototype score; not measured dBm")</x:f>
      </x:c>
    </x:row>
    <x:row r="194">
      <x:c r="A194" s="30"/>
      <x:c r="B194" s="15"/>
      <x:c r="C194" s="15"/>
      <x:c r="D194" s="15"/>
      <x:c r="E194" s="15"/>
      <x:c r="F194" s="15"/>
      <x:c r="G194" s="15"/>
      <x:c r="H194" s="15"/>
      <x:c r="I194" s="15"/>
      <x:c r="J194" s="15"/>
      <x:c r="K194" s="15"/>
      <x:c r="L194" s="23" t="str">
        <x:f>IF(A194="","",2*'Assumptions'!$B$4*ASIN(SQRT(SIN(RADIANS(F194-I194)/2)^2+COS(RADIANS(F194))*COS(RADIANS(I194))*SIN(RADIANS(G194-J194)/2)^2)))</x:f>
      </x:c>
      <x:c r="M194" s="23" t="str">
        <x:f>IF(A194="","",SQRT(L194^2+((H194*0.3048-K194)/1000)^2))</x:f>
      </x:c>
      <x:c r="N194" s="23" t="str">
        <x:f>IF(A194="","",32.45+20*LOG200(MAX(M194,0.001))+20*LOG200(E194))</x:f>
      </x:c>
      <x:c r="O194" s="23" t="str">
        <x:f>IF(A194="","",'Assumptions'!$B$8*(SQRT(MAX(H194*0.3048,0))+SQRT(MAX(K194,0))))</x:f>
      </x:c>
      <x:c r="P194" s="22" t="str">
        <x:f>IF(A194="","",IF(L194&lt;=O194,"Yes","No"))</x:f>
      </x:c>
      <x:c r="Q194" s="24" t="str">
        <x:f>IF(A194="","",100*('Assumptions'!$B$6-N194)/('Assumptions'!$B$6-'Assumptions'!$B$5))</x:f>
      </x:c>
      <x:c r="R194" s="24" t="str">
        <x:f>IF(A194="","",MAX(0,MIN(100,Q194-IF(P194="No",'Assumptions'!$B$7,0))))</x:f>
      </x:c>
      <x:c r="S194" s="15" t="str">
        <x:f>IF(A194="","",IF(R194&gt;=80,"Strong",IF(R194&gt;=50,"Moderate","Weak")))</x:f>
      </x:c>
      <x:c r="T194" s="29" t="str">
        <x:f>IF(A194="","","Relative prototype score; not measured dBm")</x:f>
      </x:c>
    </x:row>
    <x:row r="195">
      <x:c r="A195" s="30"/>
      <x:c r="B195" s="15"/>
      <x:c r="C195" s="15"/>
      <x:c r="D195" s="15"/>
      <x:c r="E195" s="15"/>
      <x:c r="F195" s="15"/>
      <x:c r="G195" s="15"/>
      <x:c r="H195" s="15"/>
      <x:c r="I195" s="15"/>
      <x:c r="J195" s="15"/>
      <x:c r="K195" s="15"/>
      <x:c r="L195" s="23" t="str">
        <x:f>IF(A195="","",2*'Assumptions'!$B$4*ASIN(SQRT(SIN(RADIANS(F195-I195)/2)^2+COS(RADIANS(F195))*COS(RADIANS(I195))*SIN(RADIANS(G195-J195)/2)^2)))</x:f>
      </x:c>
      <x:c r="M195" s="23" t="str">
        <x:f>IF(A195="","",SQRT(L195^2+((H195*0.3048-K195)/1000)^2))</x:f>
      </x:c>
      <x:c r="N195" s="23" t="str">
        <x:f>IF(A195="","",32.45+20*LOG201(MAX(M195,0.001))+20*LOG201(E195))</x:f>
      </x:c>
      <x:c r="O195" s="23" t="str">
        <x:f>IF(A195="","",'Assumptions'!$B$8*(SQRT(MAX(H195*0.3048,0))+SQRT(MAX(K195,0))))</x:f>
      </x:c>
      <x:c r="P195" s="22" t="str">
        <x:f>IF(A195="","",IF(L195&lt;=O195,"Yes","No"))</x:f>
      </x:c>
      <x:c r="Q195" s="24" t="str">
        <x:f>IF(A195="","",100*('Assumptions'!$B$6-N195)/('Assumptions'!$B$6-'Assumptions'!$B$5))</x:f>
      </x:c>
      <x:c r="R195" s="24" t="str">
        <x:f>IF(A195="","",MAX(0,MIN(100,Q195-IF(P195="No",'Assumptions'!$B$7,0))))</x:f>
      </x:c>
      <x:c r="S195" s="15" t="str">
        <x:f>IF(A195="","",IF(R195&gt;=80,"Strong",IF(R195&gt;=50,"Moderate","Weak")))</x:f>
      </x:c>
      <x:c r="T195" s="29" t="str">
        <x:f>IF(A195="","","Relative prototype score; not measured dBm")</x:f>
      </x:c>
    </x:row>
    <x:row r="196">
      <x:c r="A196" s="30"/>
      <x:c r="B196" s="15"/>
      <x:c r="C196" s="15"/>
      <x:c r="D196" s="15"/>
      <x:c r="E196" s="15"/>
      <x:c r="F196" s="15"/>
      <x:c r="G196" s="15"/>
      <x:c r="H196" s="15"/>
      <x:c r="I196" s="15"/>
      <x:c r="J196" s="15"/>
      <x:c r="K196" s="15"/>
      <x:c r="L196" s="23" t="str">
        <x:f>IF(A196="","",2*'Assumptions'!$B$4*ASIN(SQRT(SIN(RADIANS(F196-I196)/2)^2+COS(RADIANS(F196))*COS(RADIANS(I196))*SIN(RADIANS(G196-J196)/2)^2)))</x:f>
      </x:c>
      <x:c r="M196" s="23" t="str">
        <x:f>IF(A196="","",SQRT(L196^2+((H196*0.3048-K196)/1000)^2))</x:f>
      </x:c>
      <x:c r="N196" s="23" t="str">
        <x:f>IF(A196="","",32.45+20*LOG202(MAX(M196,0.001))+20*LOG202(E196))</x:f>
      </x:c>
      <x:c r="O196" s="23" t="str">
        <x:f>IF(A196="","",'Assumptions'!$B$8*(SQRT(MAX(H196*0.3048,0))+SQRT(MAX(K196,0))))</x:f>
      </x:c>
      <x:c r="P196" s="22" t="str">
        <x:f>IF(A196="","",IF(L196&lt;=O196,"Yes","No"))</x:f>
      </x:c>
      <x:c r="Q196" s="24" t="str">
        <x:f>IF(A196="","",100*('Assumptions'!$B$6-N196)/('Assumptions'!$B$6-'Assumptions'!$B$5))</x:f>
      </x:c>
      <x:c r="R196" s="24" t="str">
        <x:f>IF(A196="","",MAX(0,MIN(100,Q196-IF(P196="No",'Assumptions'!$B$7,0))))</x:f>
      </x:c>
      <x:c r="S196" s="15" t="str">
        <x:f>IF(A196="","",IF(R196&gt;=80,"Strong",IF(R196&gt;=50,"Moderate","Weak")))</x:f>
      </x:c>
      <x:c r="T196" s="29" t="str">
        <x:f>IF(A196="","","Relative prototype score; not measured dBm")</x:f>
      </x:c>
    </x:row>
    <x:row r="197">
      <x:c r="A197" s="30"/>
      <x:c r="B197" s="15"/>
      <x:c r="C197" s="15"/>
      <x:c r="D197" s="15"/>
      <x:c r="E197" s="15"/>
      <x:c r="F197" s="15"/>
      <x:c r="G197" s="15"/>
      <x:c r="H197" s="15"/>
      <x:c r="I197" s="15"/>
      <x:c r="J197" s="15"/>
      <x:c r="K197" s="15"/>
      <x:c r="L197" s="23" t="str">
        <x:f>IF(A197="","",2*'Assumptions'!$B$4*ASIN(SQRT(SIN(RADIANS(F197-I197)/2)^2+COS(RADIANS(F197))*COS(RADIANS(I197))*SIN(RADIANS(G197-J197)/2)^2)))</x:f>
      </x:c>
      <x:c r="M197" s="23" t="str">
        <x:f>IF(A197="","",SQRT(L197^2+((H197*0.3048-K197)/1000)^2))</x:f>
      </x:c>
      <x:c r="N197" s="23" t="str">
        <x:f>IF(A197="","",32.45+20*LOG203(MAX(M197,0.001))+20*LOG203(E197))</x:f>
      </x:c>
      <x:c r="O197" s="23" t="str">
        <x:f>IF(A197="","",'Assumptions'!$B$8*(SQRT(MAX(H197*0.3048,0))+SQRT(MAX(K197,0))))</x:f>
      </x:c>
      <x:c r="P197" s="22" t="str">
        <x:f>IF(A197="","",IF(L197&lt;=O197,"Yes","No"))</x:f>
      </x:c>
      <x:c r="Q197" s="24" t="str">
        <x:f>IF(A197="","",100*('Assumptions'!$B$6-N197)/('Assumptions'!$B$6-'Assumptions'!$B$5))</x:f>
      </x:c>
      <x:c r="R197" s="24" t="str">
        <x:f>IF(A197="","",MAX(0,MIN(100,Q197-IF(P197="No",'Assumptions'!$B$7,0))))</x:f>
      </x:c>
      <x:c r="S197" s="15" t="str">
        <x:f>IF(A197="","",IF(R197&gt;=80,"Strong",IF(R197&gt;=50,"Moderate","Weak")))</x:f>
      </x:c>
      <x:c r="T197" s="29" t="str">
        <x:f>IF(A197="","","Relative prototype score; not measured dBm")</x:f>
      </x:c>
    </x:row>
    <x:row r="198">
      <x:c r="A198" s="30"/>
      <x:c r="B198" s="15"/>
      <x:c r="C198" s="15"/>
      <x:c r="D198" s="15"/>
      <x:c r="E198" s="15"/>
      <x:c r="F198" s="15"/>
      <x:c r="G198" s="15"/>
      <x:c r="H198" s="15"/>
      <x:c r="I198" s="15"/>
      <x:c r="J198" s="15"/>
      <x:c r="K198" s="15"/>
      <x:c r="L198" s="23" t="str">
        <x:f>IF(A198="","",2*'Assumptions'!$B$4*ASIN(SQRT(SIN(RADIANS(F198-I198)/2)^2+COS(RADIANS(F198))*COS(RADIANS(I198))*SIN(RADIANS(G198-J198)/2)^2)))</x:f>
      </x:c>
      <x:c r="M198" s="23" t="str">
        <x:f>IF(A198="","",SQRT(L198^2+((H198*0.3048-K198)/1000)^2))</x:f>
      </x:c>
      <x:c r="N198" s="23" t="str">
        <x:f>IF(A198="","",32.45+20*LOG204(MAX(M198,0.001))+20*LOG204(E198))</x:f>
      </x:c>
      <x:c r="O198" s="23" t="str">
        <x:f>IF(A198="","",'Assumptions'!$B$8*(SQRT(MAX(H198*0.3048,0))+SQRT(MAX(K198,0))))</x:f>
      </x:c>
      <x:c r="P198" s="22" t="str">
        <x:f>IF(A198="","",IF(L198&lt;=O198,"Yes","No"))</x:f>
      </x:c>
      <x:c r="Q198" s="24" t="str">
        <x:f>IF(A198="","",100*('Assumptions'!$B$6-N198)/('Assumptions'!$B$6-'Assumptions'!$B$5))</x:f>
      </x:c>
      <x:c r="R198" s="24" t="str">
        <x:f>IF(A198="","",MAX(0,MIN(100,Q198-IF(P198="No",'Assumptions'!$B$7,0))))</x:f>
      </x:c>
      <x:c r="S198" s="15" t="str">
        <x:f>IF(A198="","",IF(R198&gt;=80,"Strong",IF(R198&gt;=50,"Moderate","Weak")))</x:f>
      </x:c>
      <x:c r="T198" s="29" t="str">
        <x:f>IF(A198="","","Relative prototype score; not measured dBm")</x:f>
      </x:c>
    </x:row>
    <x:row r="199">
      <x:c r="A199" s="30"/>
      <x:c r="B199" s="15"/>
      <x:c r="C199" s="15"/>
      <x:c r="D199" s="15"/>
      <x:c r="E199" s="15"/>
      <x:c r="F199" s="15"/>
      <x:c r="G199" s="15"/>
      <x:c r="H199" s="15"/>
      <x:c r="I199" s="15"/>
      <x:c r="J199" s="15"/>
      <x:c r="K199" s="15"/>
      <x:c r="L199" s="23" t="str">
        <x:f>IF(A199="","",2*'Assumptions'!$B$4*ASIN(SQRT(SIN(RADIANS(F199-I199)/2)^2+COS(RADIANS(F199))*COS(RADIANS(I199))*SIN(RADIANS(G199-J199)/2)^2)))</x:f>
      </x:c>
      <x:c r="M199" s="23" t="str">
        <x:f>IF(A199="","",SQRT(L199^2+((H199*0.3048-K199)/1000)^2))</x:f>
      </x:c>
      <x:c r="N199" s="23" t="str">
        <x:f>IF(A199="","",32.45+20*LOG205(MAX(M199,0.001))+20*LOG205(E199))</x:f>
      </x:c>
      <x:c r="O199" s="23" t="str">
        <x:f>IF(A199="","",'Assumptions'!$B$8*(SQRT(MAX(H199*0.3048,0))+SQRT(MAX(K199,0))))</x:f>
      </x:c>
      <x:c r="P199" s="22" t="str">
        <x:f>IF(A199="","",IF(L199&lt;=O199,"Yes","No"))</x:f>
      </x:c>
      <x:c r="Q199" s="24" t="str">
        <x:f>IF(A199="","",100*('Assumptions'!$B$6-N199)/('Assumptions'!$B$6-'Assumptions'!$B$5))</x:f>
      </x:c>
      <x:c r="R199" s="24" t="str">
        <x:f>IF(A199="","",MAX(0,MIN(100,Q199-IF(P199="No",'Assumptions'!$B$7,0))))</x:f>
      </x:c>
      <x:c r="S199" s="15" t="str">
        <x:f>IF(A199="","",IF(R199&gt;=80,"Strong",IF(R199&gt;=50,"Moderate","Weak")))</x:f>
      </x:c>
      <x:c r="T199" s="29" t="str">
        <x:f>IF(A199="","","Relative prototype score; not measured dBm")</x:f>
      </x:c>
    </x:row>
    <x:row r="200">
      <x:c r="A200" s="30"/>
      <x:c r="B200" s="15"/>
      <x:c r="C200" s="15"/>
      <x:c r="D200" s="15"/>
      <x:c r="E200" s="15"/>
      <x:c r="F200" s="15"/>
      <x:c r="G200" s="15"/>
      <x:c r="H200" s="15"/>
      <x:c r="I200" s="15"/>
      <x:c r="J200" s="15"/>
      <x:c r="K200" s="15"/>
      <x:c r="L200" s="23" t="str">
        <x:f>IF(A200="","",2*'Assumptions'!$B$4*ASIN(SQRT(SIN(RADIANS(F200-I200)/2)^2+COS(RADIANS(F200))*COS(RADIANS(I200))*SIN(RADIANS(G200-J200)/2)^2)))</x:f>
      </x:c>
      <x:c r="M200" s="23" t="str">
        <x:f>IF(A200="","",SQRT(L200^2+((H200*0.3048-K200)/1000)^2))</x:f>
      </x:c>
      <x:c r="N200" s="23" t="str">
        <x:f>IF(A200="","",32.45+20*LOG206(MAX(M200,0.001))+20*LOG206(E200))</x:f>
      </x:c>
      <x:c r="O200" s="23" t="str">
        <x:f>IF(A200="","",'Assumptions'!$B$8*(SQRT(MAX(H200*0.3048,0))+SQRT(MAX(K200,0))))</x:f>
      </x:c>
      <x:c r="P200" s="22" t="str">
        <x:f>IF(A200="","",IF(L200&lt;=O200,"Yes","No"))</x:f>
      </x:c>
      <x:c r="Q200" s="24" t="str">
        <x:f>IF(A200="","",100*('Assumptions'!$B$6-N200)/('Assumptions'!$B$6-'Assumptions'!$B$5))</x:f>
      </x:c>
      <x:c r="R200" s="24" t="str">
        <x:f>IF(A200="","",MAX(0,MIN(100,Q200-IF(P200="No",'Assumptions'!$B$7,0))))</x:f>
      </x:c>
      <x:c r="S200" s="15" t="str">
        <x:f>IF(A200="","",IF(R200&gt;=80,"Strong",IF(R200&gt;=50,"Moderate","Weak")))</x:f>
      </x:c>
      <x:c r="T200" s="29" t="str">
        <x:f>IF(A200="","","Relative prototype score; not measured dBm")</x:f>
      </x:c>
    </x:row>
    <x:row r="201">
      <x:c r="A201" s="30"/>
      <x:c r="B201" s="15"/>
      <x:c r="C201" s="15"/>
      <x:c r="D201" s="15"/>
      <x:c r="E201" s="15"/>
      <x:c r="F201" s="15"/>
      <x:c r="G201" s="15"/>
      <x:c r="H201" s="15"/>
      <x:c r="I201" s="15"/>
      <x:c r="J201" s="15"/>
      <x:c r="K201" s="15"/>
      <x:c r="L201" s="23" t="str">
        <x:f>IF(A201="","",2*'Assumptions'!$B$4*ASIN(SQRT(SIN(RADIANS(F201-I201)/2)^2+COS(RADIANS(F201))*COS(RADIANS(I201))*SIN(RADIANS(G201-J201)/2)^2)))</x:f>
      </x:c>
      <x:c r="M201" s="23" t="str">
        <x:f>IF(A201="","",SQRT(L201^2+((H201*0.3048-K201)/1000)^2))</x:f>
      </x:c>
      <x:c r="N201" s="23" t="str">
        <x:f>IF(A201="","",32.45+20*LOG207(MAX(M201,0.001))+20*LOG207(E201))</x:f>
      </x:c>
      <x:c r="O201" s="23" t="str">
        <x:f>IF(A201="","",'Assumptions'!$B$8*(SQRT(MAX(H201*0.3048,0))+SQRT(MAX(K201,0))))</x:f>
      </x:c>
      <x:c r="P201" s="22" t="str">
        <x:f>IF(A201="","",IF(L201&lt;=O201,"Yes","No"))</x:f>
      </x:c>
      <x:c r="Q201" s="24" t="str">
        <x:f>IF(A201="","",100*('Assumptions'!$B$6-N201)/('Assumptions'!$B$6-'Assumptions'!$B$5))</x:f>
      </x:c>
      <x:c r="R201" s="24" t="str">
        <x:f>IF(A201="","",MAX(0,MIN(100,Q201-IF(P201="No",'Assumptions'!$B$7,0))))</x:f>
      </x:c>
      <x:c r="S201" s="15" t="str">
        <x:f>IF(A201="","",IF(R201&gt;=80,"Strong",IF(R201&gt;=50,"Moderate","Weak")))</x:f>
      </x:c>
      <x:c r="T201" s="29" t="str">
        <x:f>IF(A201="","","Relative prototype score; not measured dBm")</x:f>
      </x:c>
    </x:row>
    <x:row r="202">
      <x:c r="A202" s="30"/>
      <x:c r="B202" s="15"/>
      <x:c r="C202" s="15"/>
      <x:c r="D202" s="15"/>
      <x:c r="E202" s="15"/>
      <x:c r="F202" s="15"/>
      <x:c r="G202" s="15"/>
      <x:c r="H202" s="15"/>
      <x:c r="I202" s="15"/>
      <x:c r="J202" s="15"/>
      <x:c r="K202" s="15"/>
      <x:c r="L202" s="23" t="str">
        <x:f>IF(A202="","",2*'Assumptions'!$B$4*ASIN(SQRT(SIN(RADIANS(F202-I202)/2)^2+COS(RADIANS(F202))*COS(RADIANS(I202))*SIN(RADIANS(G202-J202)/2)^2)))</x:f>
      </x:c>
      <x:c r="M202" s="23" t="str">
        <x:f>IF(A202="","",SQRT(L202^2+((H202*0.3048-K202)/1000)^2))</x:f>
      </x:c>
      <x:c r="N202" s="23" t="str">
        <x:f>IF(A202="","",32.45+20*LOG208(MAX(M202,0.001))+20*LOG208(E202))</x:f>
      </x:c>
      <x:c r="O202" s="23" t="str">
        <x:f>IF(A202="","",'Assumptions'!$B$8*(SQRT(MAX(H202*0.3048,0))+SQRT(MAX(K202,0))))</x:f>
      </x:c>
      <x:c r="P202" s="22" t="str">
        <x:f>IF(A202="","",IF(L202&lt;=O202,"Yes","No"))</x:f>
      </x:c>
      <x:c r="Q202" s="24" t="str">
        <x:f>IF(A202="","",100*('Assumptions'!$B$6-N202)/('Assumptions'!$B$6-'Assumptions'!$B$5))</x:f>
      </x:c>
      <x:c r="R202" s="24" t="str">
        <x:f>IF(A202="","",MAX(0,MIN(100,Q202-IF(P202="No",'Assumptions'!$B$7,0))))</x:f>
      </x:c>
      <x:c r="S202" s="15" t="str">
        <x:f>IF(A202="","",IF(R202&gt;=80,"Strong",IF(R202&gt;=50,"Moderate","Weak")))</x:f>
      </x:c>
      <x:c r="T202" s="29" t="str">
        <x:f>IF(A202="","","Relative prototype score; not measured dBm")</x:f>
      </x:c>
    </x:row>
    <x:row r="203">
      <x:c r="A203" s="31"/>
      <x:c r="B203" s="32"/>
      <x:c r="C203" s="32"/>
      <x:c r="D203" s="32"/>
      <x:c r="E203" s="32"/>
      <x:c r="F203" s="32"/>
      <x:c r="G203" s="32"/>
      <x:c r="H203" s="32"/>
      <x:c r="I203" s="32"/>
      <x:c r="J203" s="32"/>
      <x:c r="K203" s="32"/>
      <x:c r="L203" s="33" t="str">
        <x:f>IF(A203="","",2*'Assumptions'!$B$4*ASIN(SQRT(SIN(RADIANS(F203-I203)/2)^2+COS(RADIANS(F203))*COS(RADIANS(I203))*SIN(RADIANS(G203-J203)/2)^2)))</x:f>
      </x:c>
      <x:c r="M203" s="33" t="str">
        <x:f>IF(A203="","",SQRT(L203^2+((H203*0.3048-K203)/1000)^2))</x:f>
      </x:c>
      <x:c r="N203" s="33" t="str">
        <x:f>IF(A203="","",32.45+20*LOG209(MAX(M203,0.001))+20*LOG209(E203))</x:f>
      </x:c>
      <x:c r="O203" s="33" t="str">
        <x:f>IF(A203="","",'Assumptions'!$B$8*(SQRT(MAX(H203*0.3048,0))+SQRT(MAX(K203,0))))</x:f>
      </x:c>
      <x:c r="P203" s="34" t="str">
        <x:f>IF(A203="","",IF(L203&lt;=O203,"Yes","No"))</x:f>
      </x:c>
      <x:c r="Q203" s="35" t="str">
        <x:f>IF(A203="","",100*('Assumptions'!$B$6-N203)/('Assumptions'!$B$6-'Assumptions'!$B$5))</x:f>
      </x:c>
      <x:c r="R203" s="35" t="str">
        <x:f>IF(A203="","",MAX(0,MIN(100,Q203-IF(P203="No",'Assumptions'!$B$7,0))))</x:f>
      </x:c>
      <x:c r="S203" s="32" t="str">
        <x:f>IF(A203="","",IF(R203&gt;=80,"Strong",IF(R203&gt;=50,"Moderate","Weak")))</x:f>
      </x:c>
      <x:c r="T203" s="36" t="str">
        <x:f>IF(A203="","","Relative prototype score; not measured dBm")</x:f>
      </x:c>
    </x:row>
  </x:sheetData>
  <x:mergeCells>
    <x:mergeCell ref="A1:T1"/>
  </x:mergeCells>
  <x:conditionalFormatting sqref="R4:R203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